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vanbruno/Desktop/Stock-Ticker-Analysis/"/>
    </mc:Choice>
  </mc:AlternateContent>
  <xr:revisionPtr revIDLastSave="0" documentId="13_ncr:1_{A29D6E36-D64B-AC4A-922D-8C22FCA087C8}" xr6:coauthVersionLast="47" xr6:coauthVersionMax="47" xr10:uidLastSave="{00000000-0000-0000-0000-000000000000}"/>
  <bookViews>
    <workbookView xWindow="0" yWindow="500" windowWidth="28800" windowHeight="15880" activeTab="1" xr2:uid="{23B95D01-B5D0-DD45-A260-3ADB9F1A47DE}"/>
  </bookViews>
  <sheets>
    <sheet name="AAPL" sheetId="2" r:id="rId1"/>
    <sheet name="Data" sheetId="1" r:id="rId2"/>
    <sheet name="MSFT" sheetId="5" r:id="rId3"/>
    <sheet name="SPY" sheetId="4" r:id="rId4"/>
    <sheet name="Sheet2" sheetId="3" r:id="rId5"/>
  </sheets>
  <definedNames>
    <definedName name="ExternalData_1" localSheetId="0" hidden="1">AAPL!$A$1:$G$255</definedName>
    <definedName name="ExternalData_1" localSheetId="3" hidden="1">SPY!$A$1:$G$254</definedName>
    <definedName name="ExternalData_2" localSheetId="2" hidden="1">MSFT!$A$1:$G$254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" i="4" l="1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S8" i="4"/>
  <c r="U5" i="4"/>
  <c r="T5" i="4"/>
  <c r="S5" i="4"/>
  <c r="S2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0B32E26-283C-8844-BF3C-5579ECA56F65}" keepAlive="1" name="Query - AAPL" description="Connection to the 'AAPL' query in the workbook." type="5" refreshedVersion="7" background="1" saveData="1">
    <dbPr connection="Provider=Microsoft.Mashup.OleDb.1;Data Source=$Workbook$;Location=AAPL;Extended Properties=&quot;&quot;" command="SELECT * FROM [AAPL]"/>
  </connection>
  <connection id="2" xr16:uid="{19CA56E2-FD61-1744-B4BF-B4BF4FD602AF}" keepAlive="1" name="Query - MSFT" description="Connection to the 'MSFT' query in the workbook." type="5" refreshedVersion="7" background="1" saveData="1">
    <dbPr connection="Provider=Microsoft.Mashup.OleDb.1;Data Source=$Workbook$;Location=MSFT;Extended Properties=&quot;&quot;" command="SELECT * FROM [MSFT]"/>
  </connection>
  <connection id="3" xr16:uid="{4009B35D-81B6-1948-BCAC-3B22B677D250}" keepAlive="1" name="Query - SPY" description="Connection to the 'SPY' query in the workbook." type="5" refreshedVersion="7" background="1" saveData="1">
    <dbPr connection="Provider=Microsoft.Mashup.OleDb.1;Data Source=$Workbook$;Location=SPY;Extended Properties=&quot;&quot;" command="SELECT * FROM [SPY]"/>
  </connection>
</connections>
</file>

<file path=xl/sharedStrings.xml><?xml version="1.0" encoding="utf-8"?>
<sst xmlns="http://schemas.openxmlformats.org/spreadsheetml/2006/main" count="36" uniqueCount="19">
  <si>
    <t>Date</t>
  </si>
  <si>
    <t>Open</t>
  </si>
  <si>
    <t>High</t>
  </si>
  <si>
    <t>Low</t>
  </si>
  <si>
    <t>Close</t>
  </si>
  <si>
    <t>Adj Close</t>
  </si>
  <si>
    <t>Volume</t>
  </si>
  <si>
    <t>1 Year Return</t>
  </si>
  <si>
    <t>Average Daily Volume</t>
  </si>
  <si>
    <t>Percent Return on Higher than Average Volume</t>
  </si>
  <si>
    <t>Column1</t>
  </si>
  <si>
    <t>Gain</t>
  </si>
  <si>
    <t>Column2</t>
  </si>
  <si>
    <t>Column3</t>
  </si>
  <si>
    <t>Column4</t>
  </si>
  <si>
    <t>Gain day after</t>
  </si>
  <si>
    <t>Column5</t>
  </si>
  <si>
    <t>Column6</t>
  </si>
  <si>
    <t>AAPL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</si>
</sst>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1" xfId="0" applyFont="1" applyBorder="1"/>
    <xf numFmtId="3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2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2">
    <dxf>
      <numFmt numFmtId="19" formatCode="m/d/yy"/>
    </dxf>
    <dxf>
      <numFmt numFmtId="2" formatCode="0.00"/>
    </dxf>
    <dxf>
      <numFmt numFmtId="0" formatCode="General"/>
    </dxf>
    <dxf>
      <numFmt numFmtId="2" formatCode="0.00"/>
    </dxf>
    <dxf>
      <numFmt numFmtId="19" formatCode="m/d/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254000</xdr:colOff>
          <xdr:row>6</xdr:row>
          <xdr:rowOff>139700</xdr:rowOff>
        </xdr:from>
        <xdr:to>
          <xdr:col>22</xdr:col>
          <xdr:colOff>127000</xdr:colOff>
          <xdr:row>8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241300</xdr:colOff>
          <xdr:row>2</xdr:row>
          <xdr:rowOff>139700</xdr:rowOff>
        </xdr:from>
        <xdr:to>
          <xdr:col>22</xdr:col>
          <xdr:colOff>114300</xdr:colOff>
          <xdr:row>5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7A05771-D424-2749-B1E7-20A406CBEF6F}" autoFormatId="16" applyNumberFormats="0" applyBorderFormats="0" applyFontFormats="0" applyPatternFormats="0" applyAlignmentFormats="0" applyWidthHeightFormats="0">
  <queryTableRefresh nextId="14" unboundColumnsRight="6">
    <queryTableFields count="13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5D63761-F64F-2D43-9FE4-C814BEB31425}" autoFormatId="16" applyNumberFormats="0" applyBorderFormats="0" applyFontFormats="0" applyPatternFormats="0" applyAlignmentFormats="0" applyWidthHeightFormats="0">
  <queryTableRefresh preserveSortFilterLayout="0"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353063E1-7641-BB43-86EE-80C53CBCC944}" autoFormatId="16" applyNumberFormats="0" applyBorderFormats="0" applyFontFormats="0" applyPatternFormats="0" applyAlignmentFormats="0" applyWidthHeightFormats="0">
  <queryTableRefresh preserveSortFilterLayout="0" nextId="11" unboundColumnsRight="3">
    <queryTableFields count="10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3A8955-7590-574E-8326-42F908BB1E69}" name="AAPL" displayName="AAPL" ref="A1:M255" tableType="queryTable" totalsRowShown="0">
  <autoFilter ref="A1:M255" xr:uid="{D53A8955-7590-574E-8326-42F908BB1E69}"/>
  <sortState xmlns:xlrd2="http://schemas.microsoft.com/office/spreadsheetml/2017/richdata2" ref="A2:H255">
    <sortCondition descending="1" ref="A1:A255"/>
  </sortState>
  <tableColumns count="13">
    <tableColumn id="1" xr3:uid="{A83C2D99-6D34-1B4E-8514-4AE50DFD8F43}" uniqueName="1" name="Date" queryTableFieldId="1" dataDxfId="11"/>
    <tableColumn id="2" xr3:uid="{5C726F91-B22B-4A4E-AC48-447911EF9DEC}" uniqueName="2" name="Open" queryTableFieldId="2"/>
    <tableColumn id="3" xr3:uid="{52CC00F6-A51D-D14A-B2D6-F520774B7501}" uniqueName="3" name="High" queryTableFieldId="3"/>
    <tableColumn id="4" xr3:uid="{DBCF15D5-5AE0-9F4F-AE7F-EA697A7D8CC9}" uniqueName="4" name="Low" queryTableFieldId="4"/>
    <tableColumn id="5" xr3:uid="{A80A705A-90FC-AA4B-924C-764CF56B6E34}" uniqueName="5" name="Close" queryTableFieldId="5"/>
    <tableColumn id="6" xr3:uid="{150DFFA5-B073-614A-8B58-761E63984663}" uniqueName="6" name="Adj Close" queryTableFieldId="6"/>
    <tableColumn id="7" xr3:uid="{CC45D44B-91D9-B44F-BF3D-C27F730E5549}" uniqueName="7" name="Volume" queryTableFieldId="7"/>
    <tableColumn id="8" xr3:uid="{9896387E-8DB6-B54D-B618-1F2FEAE637E1}" uniqueName="8" name="Column1" queryTableFieldId="8" dataDxfId="10"/>
    <tableColumn id="9" xr3:uid="{BCB9BA5C-7E71-6745-885C-525090CD6B30}" uniqueName="9" name="Column2" queryTableFieldId="9" dataDxfId="9"/>
    <tableColumn id="10" xr3:uid="{67AE6BFA-F721-F248-8F9B-7CD3BDE50611}" uniqueName="10" name="Column3" queryTableFieldId="10" dataDxfId="8"/>
    <tableColumn id="11" xr3:uid="{AA4EF163-04A2-9445-8633-61C9F972D0D1}" uniqueName="11" name="Column4" queryTableFieldId="11" dataDxfId="7"/>
    <tableColumn id="12" xr3:uid="{B25FFAC8-3BC5-E941-B21C-C2519E4D24C9}" uniqueName="12" name="Column5" queryTableFieldId="12" dataDxfId="6"/>
    <tableColumn id="13" xr3:uid="{368BB190-CD65-DE4D-B1E7-95FD7C9B68DA}" uniqueName="13" name="Column6" queryTableFieldId="13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A74CF2-ECB3-3A48-B09F-1F2961301C4D}" name="MSFT" displayName="MSFT" ref="A1:G254" tableType="queryTable" totalsRowShown="0">
  <autoFilter ref="A1:G254" xr:uid="{1CA74CF2-ECB3-3A48-B09F-1F2961301C4D}"/>
  <tableColumns count="7">
    <tableColumn id="1" xr3:uid="{A2323A11-E9EA-4D44-9952-265949B5ECAE}" uniqueName="1" name="Date" queryTableFieldId="1" dataDxfId="0"/>
    <tableColumn id="2" xr3:uid="{D8BD2847-CBCF-944C-B8BF-E76B47B14BCB}" uniqueName="2" name="Open" queryTableFieldId="2"/>
    <tableColumn id="3" xr3:uid="{17945592-0B74-B24C-BBA5-9524D9D3DFEC}" uniqueName="3" name="High" queryTableFieldId="3"/>
    <tableColumn id="4" xr3:uid="{9D5B7302-997A-1E48-ADC1-2E3C8D1CF59D}" uniqueName="4" name="Low" queryTableFieldId="4"/>
    <tableColumn id="5" xr3:uid="{4D5DF500-A4EE-0141-BBB9-1DB9788290F1}" uniqueName="5" name="Close" queryTableFieldId="5"/>
    <tableColumn id="6" xr3:uid="{110AC02E-36EE-CF4C-8B4C-65E19EDD6CA8}" uniqueName="6" name="Adj Close" queryTableFieldId="6"/>
    <tableColumn id="7" xr3:uid="{5039D4AA-58BC-8547-A75A-D3F3E30C4815}" uniqueName="7" name="Volume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553A065-5035-404C-BFCF-DD5DC4C82E27}" name="SPY" displayName="SPY" ref="A1:J254" tableType="queryTable" totalsRowShown="0">
  <autoFilter ref="A1:J254" xr:uid="{A553A065-5035-404C-BFCF-DD5DC4C82E27}"/>
  <tableColumns count="10">
    <tableColumn id="1" xr3:uid="{F1D8D10E-4C40-B244-9261-8720B60530E0}" uniqueName="1" name="Date" queryTableFieldId="1" dataDxfId="4"/>
    <tableColumn id="2" xr3:uid="{1302B6C2-A3EB-A047-842F-968586B757BF}" uniqueName="2" name="Open" queryTableFieldId="2"/>
    <tableColumn id="3" xr3:uid="{8BA0CC39-E97C-2848-A568-B9F0875D8EA5}" uniqueName="3" name="High" queryTableFieldId="3"/>
    <tableColumn id="4" xr3:uid="{2553692D-7157-5F46-8C14-61F806DAC9DD}" uniqueName="4" name="Low" queryTableFieldId="4"/>
    <tableColumn id="5" xr3:uid="{B0BFF73A-B457-0E4F-902B-AC4A7B711716}" uniqueName="5" name="Close" queryTableFieldId="5"/>
    <tableColumn id="6" xr3:uid="{7CE76D85-7061-3341-8C97-25DAF5C7AFC6}" uniqueName="6" name="Adj Close" queryTableFieldId="6"/>
    <tableColumn id="7" xr3:uid="{FB91982E-11F8-424F-A6E2-CBE03BAF2C1C}" uniqueName="7" name="Volume" queryTableFieldId="7"/>
    <tableColumn id="8" xr3:uid="{75CB4EAD-4191-0042-A0F6-80103189483E}" uniqueName="8" name="Gain" queryTableFieldId="8" dataDxfId="3">
      <calculatedColumnFormula>(SPY[[#This Row],[Open]]-SPY[[#This Row],[Close]])/SPY[[#This Row],[Open]] * 100</calculatedColumnFormula>
    </tableColumn>
    <tableColumn id="9" xr3:uid="{1C01443A-813E-A048-8433-15346D22363D}" uniqueName="9" name="Column1" queryTableFieldId="9" dataDxfId="2">
      <calculatedColumnFormula>IF(SPY[[#This Row],[Volume]] &gt; 71975900+ 1.5 * 42542200, SPY[[#This Row],[Gain]], 0)</calculatedColumnFormula>
    </tableColumn>
    <tableColumn id="10" xr3:uid="{2F1070DD-C6AB-D54D-BA1A-3D9993A6E7DC}" uniqueName="10" name="Column2" queryTableFieldId="10" dataDxfId="1">
      <calculatedColumnFormula>IF(SPY[[#This Row],[Volume]] &lt; 79378480 - 1.5 * 42542200, SPY[[#This Row],[Gain]], 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1AA67-C9A7-7447-96F7-4EF1D743971E}">
  <sheetPr codeName="Sheet1"/>
  <dimension ref="A1:O255"/>
  <sheetViews>
    <sheetView workbookViewId="0">
      <selection activeCell="N4" sqref="N4"/>
    </sheetView>
  </sheetViews>
  <sheetFormatPr baseColWidth="10" defaultRowHeight="16" x14ac:dyDescent="0.2"/>
  <cols>
    <col min="1" max="1" width="8.83203125" bestFit="1" customWidth="1"/>
    <col min="2" max="6" width="11.1640625" bestFit="1" customWidth="1"/>
    <col min="7" max="7" width="10.1640625" bestFit="1" customWidth="1"/>
    <col min="15" max="15" width="15" bestFit="1" customWidth="1"/>
  </cols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12</v>
      </c>
      <c r="J1" t="s">
        <v>13</v>
      </c>
      <c r="K1" t="s">
        <v>14</v>
      </c>
      <c r="L1" t="s">
        <v>16</v>
      </c>
      <c r="M1" t="s">
        <v>17</v>
      </c>
    </row>
    <row r="2" spans="1:15" x14ac:dyDescent="0.2">
      <c r="A2" s="1">
        <v>44603</v>
      </c>
      <c r="B2">
        <v>172.33000200000001</v>
      </c>
      <c r="C2">
        <v>173.08000200000001</v>
      </c>
      <c r="D2">
        <v>171.029999</v>
      </c>
      <c r="E2">
        <v>172.08999600000001</v>
      </c>
      <c r="F2">
        <v>172.08999600000001</v>
      </c>
      <c r="G2">
        <v>26670990</v>
      </c>
      <c r="H2" s="8"/>
      <c r="K2" s="9"/>
      <c r="L2" s="9"/>
      <c r="M2" s="9"/>
      <c r="O2" s="8"/>
    </row>
    <row r="3" spans="1:15" x14ac:dyDescent="0.2">
      <c r="A3" s="1">
        <v>44602</v>
      </c>
      <c r="B3">
        <v>174.13999899999999</v>
      </c>
      <c r="C3">
        <v>175.479996</v>
      </c>
      <c r="D3">
        <v>171.550003</v>
      </c>
      <c r="E3">
        <v>172.11999499999999</v>
      </c>
      <c r="F3">
        <v>172.11999499999999</v>
      </c>
      <c r="G3">
        <v>90558600</v>
      </c>
      <c r="H3" s="8"/>
      <c r="K3" s="9"/>
      <c r="L3" s="9"/>
      <c r="M3" s="9"/>
    </row>
    <row r="4" spans="1:15" x14ac:dyDescent="0.2">
      <c r="A4" s="1">
        <v>44601</v>
      </c>
      <c r="B4">
        <v>176.050003</v>
      </c>
      <c r="C4">
        <v>176.64999399999999</v>
      </c>
      <c r="D4">
        <v>174.89999399999999</v>
      </c>
      <c r="E4">
        <v>176.279999</v>
      </c>
      <c r="F4">
        <v>176.279999</v>
      </c>
      <c r="G4">
        <v>71285000</v>
      </c>
      <c r="H4" s="8"/>
      <c r="K4" s="9"/>
      <c r="L4" s="9"/>
      <c r="M4" s="9"/>
    </row>
    <row r="5" spans="1:15" x14ac:dyDescent="0.2">
      <c r="A5" s="1">
        <v>44600</v>
      </c>
      <c r="B5">
        <v>171.729996</v>
      </c>
      <c r="C5">
        <v>175.35000600000001</v>
      </c>
      <c r="D5">
        <v>171.429993</v>
      </c>
      <c r="E5">
        <v>174.83000200000001</v>
      </c>
      <c r="F5">
        <v>174.83000200000001</v>
      </c>
      <c r="G5">
        <v>74829200</v>
      </c>
      <c r="H5" s="8"/>
      <c r="K5" s="9"/>
      <c r="L5" s="9"/>
      <c r="M5" s="9"/>
    </row>
    <row r="6" spans="1:15" x14ac:dyDescent="0.2">
      <c r="A6" s="1">
        <v>44599</v>
      </c>
      <c r="B6">
        <v>172.86000100000001</v>
      </c>
      <c r="C6">
        <v>173.949997</v>
      </c>
      <c r="D6">
        <v>170.949997</v>
      </c>
      <c r="E6">
        <v>171.66000399999999</v>
      </c>
      <c r="F6">
        <v>171.66000399999999</v>
      </c>
      <c r="G6">
        <v>77251200</v>
      </c>
      <c r="H6" s="8"/>
      <c r="K6" s="9"/>
      <c r="L6" s="9"/>
      <c r="M6" s="9"/>
    </row>
    <row r="7" spans="1:15" x14ac:dyDescent="0.2">
      <c r="A7" s="1">
        <v>44596</v>
      </c>
      <c r="B7">
        <v>171.679993</v>
      </c>
      <c r="C7">
        <v>174.10000600000001</v>
      </c>
      <c r="D7">
        <v>170.679993</v>
      </c>
      <c r="E7">
        <v>172.38999899999999</v>
      </c>
      <c r="F7">
        <v>172.38999899999999</v>
      </c>
      <c r="G7">
        <v>82391400</v>
      </c>
      <c r="H7" s="8"/>
      <c r="K7" s="9"/>
      <c r="L7" s="9"/>
      <c r="M7" s="9"/>
    </row>
    <row r="8" spans="1:15" x14ac:dyDescent="0.2">
      <c r="A8" s="1">
        <v>44595</v>
      </c>
      <c r="B8">
        <v>174.479996</v>
      </c>
      <c r="C8">
        <v>176.240005</v>
      </c>
      <c r="D8">
        <v>172.11999499999999</v>
      </c>
      <c r="E8">
        <v>172.89999399999999</v>
      </c>
      <c r="F8">
        <v>172.679993</v>
      </c>
      <c r="G8">
        <v>89418100</v>
      </c>
      <c r="H8" s="8"/>
      <c r="K8" s="9"/>
      <c r="L8" s="9"/>
      <c r="M8" s="9"/>
    </row>
    <row r="9" spans="1:15" x14ac:dyDescent="0.2">
      <c r="A9" s="1">
        <v>44594</v>
      </c>
      <c r="B9">
        <v>174.75</v>
      </c>
      <c r="C9">
        <v>175.88000500000001</v>
      </c>
      <c r="D9">
        <v>173.33000200000001</v>
      </c>
      <c r="E9">
        <v>175.83999600000001</v>
      </c>
      <c r="F9">
        <v>175.61625699999999</v>
      </c>
      <c r="G9">
        <v>84914300</v>
      </c>
      <c r="H9" s="8"/>
      <c r="K9" s="9"/>
      <c r="L9" s="9"/>
      <c r="M9" s="9"/>
    </row>
    <row r="10" spans="1:15" x14ac:dyDescent="0.2">
      <c r="A10" s="1">
        <v>44593</v>
      </c>
      <c r="B10">
        <v>174.009995</v>
      </c>
      <c r="C10">
        <v>174.83999600000001</v>
      </c>
      <c r="D10">
        <v>172.30999800000001</v>
      </c>
      <c r="E10">
        <v>174.61000100000001</v>
      </c>
      <c r="F10">
        <v>174.38781700000001</v>
      </c>
      <c r="G10">
        <v>86213900</v>
      </c>
      <c r="H10" s="8"/>
      <c r="K10" s="9"/>
      <c r="L10" s="9"/>
      <c r="M10" s="9"/>
    </row>
    <row r="11" spans="1:15" x14ac:dyDescent="0.2">
      <c r="A11" s="1">
        <v>44592</v>
      </c>
      <c r="B11">
        <v>170.16000399999999</v>
      </c>
      <c r="C11">
        <v>175</v>
      </c>
      <c r="D11">
        <v>169.509995</v>
      </c>
      <c r="E11">
        <v>174.779999</v>
      </c>
      <c r="F11">
        <v>174.557602</v>
      </c>
      <c r="G11">
        <v>115541600</v>
      </c>
      <c r="H11" s="8"/>
      <c r="K11" s="9"/>
      <c r="L11" s="9"/>
      <c r="M11" s="9"/>
    </row>
    <row r="12" spans="1:15" x14ac:dyDescent="0.2">
      <c r="A12" s="1">
        <v>44589</v>
      </c>
      <c r="B12">
        <v>165.71000699999999</v>
      </c>
      <c r="C12">
        <v>170.35000600000001</v>
      </c>
      <c r="D12">
        <v>162.800003</v>
      </c>
      <c r="E12">
        <v>170.33000200000001</v>
      </c>
      <c r="F12">
        <v>170.11326600000001</v>
      </c>
      <c r="G12">
        <v>179935700</v>
      </c>
      <c r="H12" s="8"/>
      <c r="K12" s="9"/>
      <c r="L12" s="9"/>
      <c r="M12" s="9"/>
    </row>
    <row r="13" spans="1:15" x14ac:dyDescent="0.2">
      <c r="A13" s="1">
        <v>44588</v>
      </c>
      <c r="B13">
        <v>162.449997</v>
      </c>
      <c r="C13">
        <v>163.83999600000001</v>
      </c>
      <c r="D13">
        <v>158.279999</v>
      </c>
      <c r="E13">
        <v>159.220001</v>
      </c>
      <c r="F13">
        <v>159.01741000000001</v>
      </c>
      <c r="G13">
        <v>121954600</v>
      </c>
      <c r="H13" s="8"/>
      <c r="K13" s="9"/>
      <c r="L13" s="9"/>
      <c r="M13" s="9"/>
    </row>
    <row r="14" spans="1:15" x14ac:dyDescent="0.2">
      <c r="A14" s="1">
        <v>44587</v>
      </c>
      <c r="B14">
        <v>163.5</v>
      </c>
      <c r="C14">
        <v>164.38999899999999</v>
      </c>
      <c r="D14">
        <v>157.820007</v>
      </c>
      <c r="E14">
        <v>159.69000199999999</v>
      </c>
      <c r="F14">
        <v>159.48680100000001</v>
      </c>
      <c r="G14">
        <v>108275300</v>
      </c>
      <c r="H14" s="8"/>
      <c r="K14" s="9"/>
      <c r="L14" s="9"/>
      <c r="M14" s="9"/>
    </row>
    <row r="15" spans="1:15" x14ac:dyDescent="0.2">
      <c r="A15" s="1">
        <v>44586</v>
      </c>
      <c r="B15">
        <v>158.979996</v>
      </c>
      <c r="C15">
        <v>162.759995</v>
      </c>
      <c r="D15">
        <v>157.020004</v>
      </c>
      <c r="E15">
        <v>159.779999</v>
      </c>
      <c r="F15">
        <v>159.57669100000001</v>
      </c>
      <c r="G15">
        <v>115798400</v>
      </c>
      <c r="H15" s="8"/>
      <c r="K15" s="9"/>
      <c r="L15" s="9"/>
      <c r="M15" s="9"/>
    </row>
    <row r="16" spans="1:15" x14ac:dyDescent="0.2">
      <c r="A16" s="1">
        <v>44585</v>
      </c>
      <c r="B16">
        <v>160.020004</v>
      </c>
      <c r="C16">
        <v>162.300003</v>
      </c>
      <c r="D16">
        <v>154.699997</v>
      </c>
      <c r="E16">
        <v>161.61999499999999</v>
      </c>
      <c r="F16">
        <v>161.41433699999999</v>
      </c>
      <c r="G16">
        <v>162294600</v>
      </c>
      <c r="H16" s="8"/>
      <c r="K16" s="9"/>
      <c r="L16" s="9"/>
      <c r="M16" s="9"/>
    </row>
    <row r="17" spans="1:13" x14ac:dyDescent="0.2">
      <c r="A17" s="1">
        <v>44582</v>
      </c>
      <c r="B17">
        <v>164.41999799999999</v>
      </c>
      <c r="C17">
        <v>166.33000200000001</v>
      </c>
      <c r="D17">
        <v>162.300003</v>
      </c>
      <c r="E17">
        <v>162.41000399999999</v>
      </c>
      <c r="F17">
        <v>162.20335399999999</v>
      </c>
      <c r="G17">
        <v>122848900</v>
      </c>
      <c r="H17" s="8"/>
      <c r="K17" s="9"/>
      <c r="L17" s="9"/>
      <c r="M17" s="9"/>
    </row>
    <row r="18" spans="1:13" x14ac:dyDescent="0.2">
      <c r="A18" s="1">
        <v>44581</v>
      </c>
      <c r="B18">
        <v>166.979996</v>
      </c>
      <c r="C18">
        <v>169.679993</v>
      </c>
      <c r="D18">
        <v>164.179993</v>
      </c>
      <c r="E18">
        <v>164.509995</v>
      </c>
      <c r="F18">
        <v>164.300659</v>
      </c>
      <c r="G18">
        <v>91420500</v>
      </c>
      <c r="H18" s="8"/>
      <c r="K18" s="9"/>
      <c r="L18" s="9"/>
      <c r="M18" s="9"/>
    </row>
    <row r="19" spans="1:13" x14ac:dyDescent="0.2">
      <c r="A19" s="1">
        <v>44580</v>
      </c>
      <c r="B19">
        <v>170</v>
      </c>
      <c r="C19">
        <v>171.08000200000001</v>
      </c>
      <c r="D19">
        <v>165.94000199999999</v>
      </c>
      <c r="E19">
        <v>166.229996</v>
      </c>
      <c r="F19">
        <v>166.01847799999999</v>
      </c>
      <c r="G19">
        <v>94815000</v>
      </c>
      <c r="H19" s="8"/>
      <c r="K19" s="9"/>
      <c r="L19" s="9"/>
      <c r="M19" s="9"/>
    </row>
    <row r="20" spans="1:13" x14ac:dyDescent="0.2">
      <c r="A20" s="1">
        <v>44579</v>
      </c>
      <c r="B20">
        <v>171.509995</v>
      </c>
      <c r="C20">
        <v>172.53999300000001</v>
      </c>
      <c r="D20">
        <v>169.41000399999999</v>
      </c>
      <c r="E20">
        <v>169.800003</v>
      </c>
      <c r="F20">
        <v>169.58393899999999</v>
      </c>
      <c r="G20">
        <v>90956700</v>
      </c>
      <c r="H20" s="8"/>
      <c r="K20" s="9"/>
      <c r="L20" s="9"/>
      <c r="M20" s="9"/>
    </row>
    <row r="21" spans="1:13" x14ac:dyDescent="0.2">
      <c r="A21" s="1">
        <v>44575</v>
      </c>
      <c r="B21">
        <v>171.33999600000001</v>
      </c>
      <c r="C21">
        <v>173.779999</v>
      </c>
      <c r="D21">
        <v>171.08999600000001</v>
      </c>
      <c r="E21">
        <v>173.070007</v>
      </c>
      <c r="F21">
        <v>172.84979200000001</v>
      </c>
      <c r="G21">
        <v>80355000</v>
      </c>
      <c r="H21" s="8"/>
      <c r="K21" s="9"/>
      <c r="L21" s="9"/>
      <c r="M21" s="9"/>
    </row>
    <row r="22" spans="1:13" x14ac:dyDescent="0.2">
      <c r="A22" s="1">
        <v>44574</v>
      </c>
      <c r="B22">
        <v>175.779999</v>
      </c>
      <c r="C22">
        <v>176.61999499999999</v>
      </c>
      <c r="D22">
        <v>171.78999300000001</v>
      </c>
      <c r="E22">
        <v>172.19000199999999</v>
      </c>
      <c r="F22">
        <v>171.970901</v>
      </c>
      <c r="G22">
        <v>84505800</v>
      </c>
      <c r="H22" s="8"/>
      <c r="K22" s="9"/>
      <c r="L22" s="9"/>
      <c r="M22" s="9"/>
    </row>
    <row r="23" spans="1:13" x14ac:dyDescent="0.2">
      <c r="A23" s="1">
        <v>44573</v>
      </c>
      <c r="B23">
        <v>176.11999499999999</v>
      </c>
      <c r="C23">
        <v>177.179993</v>
      </c>
      <c r="D23">
        <v>174.820007</v>
      </c>
      <c r="E23">
        <v>175.529999</v>
      </c>
      <c r="F23">
        <v>175.30664100000001</v>
      </c>
      <c r="G23">
        <v>74805200</v>
      </c>
      <c r="H23" s="8"/>
      <c r="K23" s="9"/>
      <c r="L23" s="9"/>
      <c r="M23" s="9"/>
    </row>
    <row r="24" spans="1:13" x14ac:dyDescent="0.2">
      <c r="A24" s="1">
        <v>44572</v>
      </c>
      <c r="B24">
        <v>172.320007</v>
      </c>
      <c r="C24">
        <v>175.179993</v>
      </c>
      <c r="D24">
        <v>170.820007</v>
      </c>
      <c r="E24">
        <v>175.08000200000001</v>
      </c>
      <c r="F24">
        <v>174.857224</v>
      </c>
      <c r="G24">
        <v>76138300</v>
      </c>
      <c r="H24" s="8"/>
      <c r="K24" s="9"/>
      <c r="L24" s="9"/>
      <c r="M24" s="9"/>
    </row>
    <row r="25" spans="1:13" x14ac:dyDescent="0.2">
      <c r="A25" s="1">
        <v>44571</v>
      </c>
      <c r="B25">
        <v>169.08000200000001</v>
      </c>
      <c r="C25">
        <v>172.5</v>
      </c>
      <c r="D25">
        <v>168.16999799999999</v>
      </c>
      <c r="E25">
        <v>172.19000199999999</v>
      </c>
      <c r="F25">
        <v>171.970901</v>
      </c>
      <c r="G25">
        <v>106765600</v>
      </c>
      <c r="H25" s="8"/>
      <c r="K25" s="9"/>
      <c r="L25" s="9"/>
      <c r="M25" s="9"/>
    </row>
    <row r="26" spans="1:13" x14ac:dyDescent="0.2">
      <c r="A26" s="1">
        <v>44568</v>
      </c>
      <c r="B26">
        <v>172.88999899999999</v>
      </c>
      <c r="C26">
        <v>174.13999899999999</v>
      </c>
      <c r="D26">
        <v>171.029999</v>
      </c>
      <c r="E26">
        <v>172.16999799999999</v>
      </c>
      <c r="F26">
        <v>171.950928</v>
      </c>
      <c r="G26">
        <v>86580100</v>
      </c>
      <c r="H26" s="8"/>
      <c r="K26" s="9"/>
      <c r="L26" s="9"/>
      <c r="M26" s="9"/>
    </row>
    <row r="27" spans="1:13" x14ac:dyDescent="0.2">
      <c r="A27" s="1">
        <v>44567</v>
      </c>
      <c r="B27">
        <v>172.699997</v>
      </c>
      <c r="C27">
        <v>175.300003</v>
      </c>
      <c r="D27">
        <v>171.63999899999999</v>
      </c>
      <c r="E27">
        <v>172</v>
      </c>
      <c r="F27">
        <v>171.78114299999999</v>
      </c>
      <c r="G27">
        <v>96904000</v>
      </c>
      <c r="H27" s="8"/>
      <c r="K27" s="9"/>
      <c r="L27" s="9"/>
      <c r="M27" s="9"/>
    </row>
    <row r="28" spans="1:13" x14ac:dyDescent="0.2">
      <c r="A28" s="1">
        <v>44566</v>
      </c>
      <c r="B28">
        <v>179.61000100000001</v>
      </c>
      <c r="C28">
        <v>180.16999799999999</v>
      </c>
      <c r="D28">
        <v>174.63999899999999</v>
      </c>
      <c r="E28">
        <v>174.91999799999999</v>
      </c>
      <c r="F28">
        <v>174.697418</v>
      </c>
      <c r="G28">
        <v>94537600</v>
      </c>
      <c r="H28" s="8"/>
      <c r="K28" s="9"/>
      <c r="L28" s="9"/>
      <c r="M28" s="9"/>
    </row>
    <row r="29" spans="1:13" x14ac:dyDescent="0.2">
      <c r="A29" s="1">
        <v>44565</v>
      </c>
      <c r="B29">
        <v>182.63000500000001</v>
      </c>
      <c r="C29">
        <v>182.94000199999999</v>
      </c>
      <c r="D29">
        <v>179.11999499999999</v>
      </c>
      <c r="E29">
        <v>179.699997</v>
      </c>
      <c r="F29">
        <v>179.47134399999999</v>
      </c>
      <c r="G29">
        <v>99310400</v>
      </c>
      <c r="H29" s="8"/>
      <c r="K29" s="9"/>
      <c r="L29" s="9"/>
      <c r="M29" s="9"/>
    </row>
    <row r="30" spans="1:13" x14ac:dyDescent="0.2">
      <c r="A30" s="1">
        <v>44564</v>
      </c>
      <c r="B30">
        <v>177.83000200000001</v>
      </c>
      <c r="C30">
        <v>182.88000500000001</v>
      </c>
      <c r="D30">
        <v>177.71000699999999</v>
      </c>
      <c r="E30">
        <v>182.009995</v>
      </c>
      <c r="F30">
        <v>181.77839700000001</v>
      </c>
      <c r="G30">
        <v>104487900</v>
      </c>
      <c r="H30" s="8"/>
      <c r="K30" s="9"/>
      <c r="L30" s="9"/>
      <c r="M30" s="9"/>
    </row>
    <row r="31" spans="1:13" x14ac:dyDescent="0.2">
      <c r="A31" s="1">
        <v>44561</v>
      </c>
      <c r="B31">
        <v>178.08999600000001</v>
      </c>
      <c r="C31">
        <v>179.229996</v>
      </c>
      <c r="D31">
        <v>177.259995</v>
      </c>
      <c r="E31">
        <v>177.570007</v>
      </c>
      <c r="F31">
        <v>177.344055</v>
      </c>
      <c r="G31">
        <v>64062300</v>
      </c>
      <c r="H31" s="8"/>
      <c r="K31" s="9"/>
      <c r="L31" s="9"/>
      <c r="M31" s="9"/>
    </row>
    <row r="32" spans="1:13" x14ac:dyDescent="0.2">
      <c r="A32" s="1">
        <v>44560</v>
      </c>
      <c r="B32">
        <v>179.470001</v>
      </c>
      <c r="C32">
        <v>180.570007</v>
      </c>
      <c r="D32">
        <v>178.08999600000001</v>
      </c>
      <c r="E32">
        <v>178.199997</v>
      </c>
      <c r="F32">
        <v>177.973251</v>
      </c>
      <c r="G32">
        <v>59773000</v>
      </c>
      <c r="H32" s="8"/>
      <c r="K32" s="9"/>
      <c r="L32" s="9"/>
      <c r="M32" s="9"/>
    </row>
    <row r="33" spans="1:13" x14ac:dyDescent="0.2">
      <c r="A33" s="1">
        <v>44559</v>
      </c>
      <c r="B33">
        <v>179.33000200000001</v>
      </c>
      <c r="C33">
        <v>180.63000500000001</v>
      </c>
      <c r="D33">
        <v>178.13999899999999</v>
      </c>
      <c r="E33">
        <v>179.38000500000001</v>
      </c>
      <c r="F33">
        <v>179.151749</v>
      </c>
      <c r="G33">
        <v>62348900</v>
      </c>
      <c r="H33" s="8"/>
      <c r="K33" s="9"/>
      <c r="L33" s="9"/>
      <c r="M33" s="9"/>
    </row>
    <row r="34" spans="1:13" x14ac:dyDescent="0.2">
      <c r="A34" s="1">
        <v>44558</v>
      </c>
      <c r="B34">
        <v>180.16000399999999</v>
      </c>
      <c r="C34">
        <v>181.33000200000001</v>
      </c>
      <c r="D34">
        <v>178.529999</v>
      </c>
      <c r="E34">
        <v>179.28999300000001</v>
      </c>
      <c r="F34">
        <v>179.061859</v>
      </c>
      <c r="G34">
        <v>79144300</v>
      </c>
      <c r="H34" s="8"/>
      <c r="K34" s="9"/>
      <c r="L34" s="9"/>
      <c r="M34" s="9"/>
    </row>
    <row r="35" spans="1:13" x14ac:dyDescent="0.2">
      <c r="A35" s="1">
        <v>44557</v>
      </c>
      <c r="B35">
        <v>177.08999600000001</v>
      </c>
      <c r="C35">
        <v>180.41999799999999</v>
      </c>
      <c r="D35">
        <v>177.070007</v>
      </c>
      <c r="E35">
        <v>180.33000200000001</v>
      </c>
      <c r="F35">
        <v>180.10054</v>
      </c>
      <c r="G35">
        <v>74919600</v>
      </c>
      <c r="H35" s="8"/>
      <c r="K35" s="9"/>
      <c r="L35" s="9"/>
      <c r="M35" s="9"/>
    </row>
    <row r="36" spans="1:13" x14ac:dyDescent="0.2">
      <c r="A36" s="1">
        <v>44553</v>
      </c>
      <c r="B36">
        <v>175.85000600000001</v>
      </c>
      <c r="C36">
        <v>176.85000600000001</v>
      </c>
      <c r="D36">
        <v>175.270004</v>
      </c>
      <c r="E36">
        <v>176.279999</v>
      </c>
      <c r="F36">
        <v>176.05569499999999</v>
      </c>
      <c r="G36">
        <v>68356600</v>
      </c>
      <c r="H36" s="8"/>
      <c r="K36" s="9"/>
      <c r="L36" s="9"/>
      <c r="M36" s="9"/>
    </row>
    <row r="37" spans="1:13" x14ac:dyDescent="0.2">
      <c r="A37" s="1">
        <v>44552</v>
      </c>
      <c r="B37">
        <v>173.03999300000001</v>
      </c>
      <c r="C37">
        <v>175.86000100000001</v>
      </c>
      <c r="D37">
        <v>172.14999399999999</v>
      </c>
      <c r="E37">
        <v>175.63999899999999</v>
      </c>
      <c r="F37">
        <v>175.416504</v>
      </c>
      <c r="G37">
        <v>92135300</v>
      </c>
      <c r="H37" s="8"/>
      <c r="K37" s="9"/>
      <c r="L37" s="9"/>
      <c r="M37" s="9"/>
    </row>
    <row r="38" spans="1:13" x14ac:dyDescent="0.2">
      <c r="A38" s="1">
        <v>44551</v>
      </c>
      <c r="B38">
        <v>171.55999800000001</v>
      </c>
      <c r="C38">
        <v>173.199997</v>
      </c>
      <c r="D38">
        <v>169.11999499999999</v>
      </c>
      <c r="E38">
        <v>172.990005</v>
      </c>
      <c r="F38">
        <v>172.769882</v>
      </c>
      <c r="G38">
        <v>91185900</v>
      </c>
      <c r="H38" s="8"/>
      <c r="K38" s="9"/>
      <c r="L38" s="9"/>
      <c r="M38" s="9"/>
    </row>
    <row r="39" spans="1:13" x14ac:dyDescent="0.2">
      <c r="A39" s="1">
        <v>44550</v>
      </c>
      <c r="B39">
        <v>168.279999</v>
      </c>
      <c r="C39">
        <v>170.58000200000001</v>
      </c>
      <c r="D39">
        <v>167.46000699999999</v>
      </c>
      <c r="E39">
        <v>169.75</v>
      </c>
      <c r="F39">
        <v>169.533997</v>
      </c>
      <c r="G39">
        <v>107499100</v>
      </c>
      <c r="H39" s="8"/>
      <c r="K39" s="9"/>
      <c r="L39" s="9"/>
      <c r="M39" s="9"/>
    </row>
    <row r="40" spans="1:13" x14ac:dyDescent="0.2">
      <c r="A40" s="1">
        <v>44547</v>
      </c>
      <c r="B40">
        <v>169.929993</v>
      </c>
      <c r="C40">
        <v>173.470001</v>
      </c>
      <c r="D40">
        <v>169.69000199999999</v>
      </c>
      <c r="E40">
        <v>171.13999899999999</v>
      </c>
      <c r="F40">
        <v>170.92224100000001</v>
      </c>
      <c r="G40">
        <v>195432700</v>
      </c>
      <c r="H40" s="8"/>
      <c r="K40" s="9"/>
      <c r="L40" s="9"/>
      <c r="M40" s="9"/>
    </row>
    <row r="41" spans="1:13" x14ac:dyDescent="0.2">
      <c r="A41" s="1">
        <v>44546</v>
      </c>
      <c r="B41">
        <v>179.279999</v>
      </c>
      <c r="C41">
        <v>181.13999899999999</v>
      </c>
      <c r="D41">
        <v>170.75</v>
      </c>
      <c r="E41">
        <v>172.259995</v>
      </c>
      <c r="F41">
        <v>172.04080200000001</v>
      </c>
      <c r="G41">
        <v>150185800</v>
      </c>
      <c r="H41" s="8"/>
      <c r="K41" s="9"/>
      <c r="L41" s="9"/>
      <c r="M41" s="9"/>
    </row>
    <row r="42" spans="1:13" x14ac:dyDescent="0.2">
      <c r="A42" s="1">
        <v>44545</v>
      </c>
      <c r="B42">
        <v>175.11000100000001</v>
      </c>
      <c r="C42">
        <v>179.5</v>
      </c>
      <c r="D42">
        <v>172.30999800000001</v>
      </c>
      <c r="E42">
        <v>179.300003</v>
      </c>
      <c r="F42">
        <v>179.071854</v>
      </c>
      <c r="G42">
        <v>131063300</v>
      </c>
      <c r="H42" s="8"/>
      <c r="K42" s="9"/>
      <c r="L42" s="9"/>
      <c r="M42" s="9"/>
    </row>
    <row r="43" spans="1:13" x14ac:dyDescent="0.2">
      <c r="A43" s="1">
        <v>44544</v>
      </c>
      <c r="B43">
        <v>175.25</v>
      </c>
      <c r="C43">
        <v>177.740005</v>
      </c>
      <c r="D43">
        <v>172.21000699999999</v>
      </c>
      <c r="E43">
        <v>174.33000200000001</v>
      </c>
      <c r="F43">
        <v>174.10818499999999</v>
      </c>
      <c r="G43">
        <v>139380400</v>
      </c>
      <c r="H43" s="8"/>
      <c r="K43" s="9"/>
      <c r="L43" s="9"/>
      <c r="M43" s="9"/>
    </row>
    <row r="44" spans="1:13" x14ac:dyDescent="0.2">
      <c r="A44" s="1">
        <v>44543</v>
      </c>
      <c r="B44">
        <v>181.11999499999999</v>
      </c>
      <c r="C44">
        <v>182.13000500000001</v>
      </c>
      <c r="D44">
        <v>175.529999</v>
      </c>
      <c r="E44">
        <v>175.740005</v>
      </c>
      <c r="F44">
        <v>175.51638800000001</v>
      </c>
      <c r="G44">
        <v>153237000</v>
      </c>
      <c r="H44" s="8"/>
      <c r="K44" s="9"/>
      <c r="L44" s="9"/>
      <c r="M44" s="9"/>
    </row>
    <row r="45" spans="1:13" x14ac:dyDescent="0.2">
      <c r="A45" s="1">
        <v>44540</v>
      </c>
      <c r="B45">
        <v>175.21000699999999</v>
      </c>
      <c r="C45">
        <v>179.63000500000001</v>
      </c>
      <c r="D45">
        <v>174.69000199999999</v>
      </c>
      <c r="E45">
        <v>179.449997</v>
      </c>
      <c r="F45">
        <v>179.221664</v>
      </c>
      <c r="G45">
        <v>115228100</v>
      </c>
      <c r="H45" s="8"/>
      <c r="K45" s="9"/>
      <c r="L45" s="9"/>
      <c r="M45" s="9"/>
    </row>
    <row r="46" spans="1:13" x14ac:dyDescent="0.2">
      <c r="A46" s="1">
        <v>44539</v>
      </c>
      <c r="B46">
        <v>174.91000399999999</v>
      </c>
      <c r="C46">
        <v>176.75</v>
      </c>
      <c r="D46">
        <v>173.91999799999999</v>
      </c>
      <c r="E46">
        <v>174.55999800000001</v>
      </c>
      <c r="F46">
        <v>174.337875</v>
      </c>
      <c r="G46">
        <v>108923700</v>
      </c>
      <c r="H46" s="8"/>
      <c r="K46" s="9"/>
      <c r="L46" s="9"/>
      <c r="M46" s="9"/>
    </row>
    <row r="47" spans="1:13" x14ac:dyDescent="0.2">
      <c r="A47" s="1">
        <v>44538</v>
      </c>
      <c r="B47">
        <v>172.13000500000001</v>
      </c>
      <c r="C47">
        <v>175.96000699999999</v>
      </c>
      <c r="D47">
        <v>170.699997</v>
      </c>
      <c r="E47">
        <v>175.08000200000001</v>
      </c>
      <c r="F47">
        <v>174.857224</v>
      </c>
      <c r="G47">
        <v>116998900</v>
      </c>
      <c r="H47" s="8"/>
      <c r="K47" s="9"/>
      <c r="L47" s="9"/>
      <c r="M47" s="9"/>
    </row>
    <row r="48" spans="1:13" x14ac:dyDescent="0.2">
      <c r="A48" s="1">
        <v>44537</v>
      </c>
      <c r="B48">
        <v>169.08000200000001</v>
      </c>
      <c r="C48">
        <v>171.58000200000001</v>
      </c>
      <c r="D48">
        <v>168.33999600000001</v>
      </c>
      <c r="E48">
        <v>171.179993</v>
      </c>
      <c r="F48">
        <v>170.96217300000001</v>
      </c>
      <c r="G48">
        <v>120405400</v>
      </c>
      <c r="H48" s="8"/>
      <c r="K48" s="9"/>
      <c r="L48" s="9"/>
      <c r="M48" s="9"/>
    </row>
    <row r="49" spans="1:13" x14ac:dyDescent="0.2">
      <c r="A49" s="1">
        <v>44536</v>
      </c>
      <c r="B49">
        <v>164.28999300000001</v>
      </c>
      <c r="C49">
        <v>167.88000500000001</v>
      </c>
      <c r="D49">
        <v>164.279999</v>
      </c>
      <c r="E49">
        <v>165.320007</v>
      </c>
      <c r="F49">
        <v>165.10964999999999</v>
      </c>
      <c r="G49">
        <v>107497000</v>
      </c>
      <c r="H49" s="8"/>
      <c r="K49" s="9"/>
      <c r="L49" s="9"/>
      <c r="M49" s="9"/>
    </row>
    <row r="50" spans="1:13" x14ac:dyDescent="0.2">
      <c r="A50" s="1">
        <v>44533</v>
      </c>
      <c r="B50">
        <v>164.020004</v>
      </c>
      <c r="C50">
        <v>164.96000699999999</v>
      </c>
      <c r="D50">
        <v>159.720001</v>
      </c>
      <c r="E50">
        <v>161.83999600000001</v>
      </c>
      <c r="F50">
        <v>161.634064</v>
      </c>
      <c r="G50">
        <v>117938300</v>
      </c>
      <c r="H50" s="8"/>
      <c r="K50" s="9"/>
      <c r="L50" s="9"/>
      <c r="M50" s="9"/>
    </row>
    <row r="51" spans="1:13" x14ac:dyDescent="0.2">
      <c r="A51" s="1">
        <v>44532</v>
      </c>
      <c r="B51">
        <v>158.740005</v>
      </c>
      <c r="C51">
        <v>164.199997</v>
      </c>
      <c r="D51">
        <v>157.800003</v>
      </c>
      <c r="E51">
        <v>163.759995</v>
      </c>
      <c r="F51">
        <v>163.55162000000001</v>
      </c>
      <c r="G51">
        <v>136739200</v>
      </c>
      <c r="H51" s="8"/>
      <c r="K51" s="9"/>
      <c r="L51" s="9"/>
      <c r="M51" s="9"/>
    </row>
    <row r="52" spans="1:13" x14ac:dyDescent="0.2">
      <c r="A52" s="1">
        <v>44531</v>
      </c>
      <c r="B52">
        <v>167.479996</v>
      </c>
      <c r="C52">
        <v>170.300003</v>
      </c>
      <c r="D52">
        <v>164.529999</v>
      </c>
      <c r="E52">
        <v>164.770004</v>
      </c>
      <c r="F52">
        <v>164.560349</v>
      </c>
      <c r="G52">
        <v>152052500</v>
      </c>
      <c r="H52" s="8"/>
      <c r="K52" s="9"/>
      <c r="L52" s="9"/>
      <c r="M52" s="9"/>
    </row>
    <row r="53" spans="1:13" x14ac:dyDescent="0.2">
      <c r="A53" s="1">
        <v>44530</v>
      </c>
      <c r="B53">
        <v>159.990005</v>
      </c>
      <c r="C53">
        <v>165.520004</v>
      </c>
      <c r="D53">
        <v>159.91999799999999</v>
      </c>
      <c r="E53">
        <v>165.300003</v>
      </c>
      <c r="F53">
        <v>165.089676</v>
      </c>
      <c r="G53">
        <v>174048100</v>
      </c>
      <c r="H53" s="8"/>
      <c r="K53" s="9"/>
      <c r="L53" s="9"/>
      <c r="M53" s="9"/>
    </row>
    <row r="54" spans="1:13" x14ac:dyDescent="0.2">
      <c r="A54" s="1">
        <v>44529</v>
      </c>
      <c r="B54">
        <v>159.36999499999999</v>
      </c>
      <c r="C54">
        <v>161.19000199999999</v>
      </c>
      <c r="D54">
        <v>158.78999300000001</v>
      </c>
      <c r="E54">
        <v>160.240005</v>
      </c>
      <c r="F54">
        <v>160.036102</v>
      </c>
      <c r="G54">
        <v>88748200</v>
      </c>
      <c r="H54" s="8"/>
      <c r="K54" s="9"/>
      <c r="L54" s="9"/>
      <c r="M54" s="9"/>
    </row>
    <row r="55" spans="1:13" x14ac:dyDescent="0.2">
      <c r="A55" s="1">
        <v>44526</v>
      </c>
      <c r="B55">
        <v>159.570007</v>
      </c>
      <c r="C55">
        <v>160.449997</v>
      </c>
      <c r="D55">
        <v>156.36000100000001</v>
      </c>
      <c r="E55">
        <v>156.80999800000001</v>
      </c>
      <c r="F55">
        <v>156.61047400000001</v>
      </c>
      <c r="G55">
        <v>76959800</v>
      </c>
      <c r="H55" s="8"/>
      <c r="K55" s="9"/>
      <c r="L55" s="9"/>
      <c r="M55" s="9"/>
    </row>
    <row r="56" spans="1:13" x14ac:dyDescent="0.2">
      <c r="A56" s="1">
        <v>44524</v>
      </c>
      <c r="B56">
        <v>160.75</v>
      </c>
      <c r="C56">
        <v>162.13999899999999</v>
      </c>
      <c r="D56">
        <v>159.63999899999999</v>
      </c>
      <c r="E56">
        <v>161.94000199999999</v>
      </c>
      <c r="F56">
        <v>161.733948</v>
      </c>
      <c r="G56">
        <v>69463600</v>
      </c>
      <c r="H56" s="8"/>
      <c r="K56" s="9"/>
      <c r="L56" s="9"/>
      <c r="M56" s="9"/>
    </row>
    <row r="57" spans="1:13" x14ac:dyDescent="0.2">
      <c r="A57" s="1">
        <v>44523</v>
      </c>
      <c r="B57">
        <v>161.11999499999999</v>
      </c>
      <c r="C57">
        <v>161.800003</v>
      </c>
      <c r="D57">
        <v>159.05999800000001</v>
      </c>
      <c r="E57">
        <v>161.41000399999999</v>
      </c>
      <c r="F57">
        <v>161.20462000000001</v>
      </c>
      <c r="G57">
        <v>96041900</v>
      </c>
      <c r="H57" s="8"/>
      <c r="K57" s="9"/>
      <c r="L57" s="9"/>
      <c r="M57" s="9"/>
    </row>
    <row r="58" spans="1:13" x14ac:dyDescent="0.2">
      <c r="A58" s="1">
        <v>44522</v>
      </c>
      <c r="B58">
        <v>161.679993</v>
      </c>
      <c r="C58">
        <v>165.699997</v>
      </c>
      <c r="D58">
        <v>161</v>
      </c>
      <c r="E58">
        <v>161.020004</v>
      </c>
      <c r="F58">
        <v>160.81510900000001</v>
      </c>
      <c r="G58">
        <v>117467900</v>
      </c>
      <c r="H58" s="8"/>
      <c r="K58" s="9"/>
      <c r="L58" s="9"/>
      <c r="M58" s="9"/>
    </row>
    <row r="59" spans="1:13" x14ac:dyDescent="0.2">
      <c r="A59" s="1">
        <v>44519</v>
      </c>
      <c r="B59">
        <v>157.64999399999999</v>
      </c>
      <c r="C59">
        <v>161.020004</v>
      </c>
      <c r="D59">
        <v>156.529999</v>
      </c>
      <c r="E59">
        <v>160.550003</v>
      </c>
      <c r="F59">
        <v>160.34571800000001</v>
      </c>
      <c r="G59">
        <v>117305600</v>
      </c>
      <c r="H59" s="8"/>
      <c r="K59" s="9"/>
      <c r="L59" s="9"/>
      <c r="M59" s="9"/>
    </row>
    <row r="60" spans="1:13" x14ac:dyDescent="0.2">
      <c r="A60" s="1">
        <v>44518</v>
      </c>
      <c r="B60">
        <v>153.71000699999999</v>
      </c>
      <c r="C60">
        <v>158.66999799999999</v>
      </c>
      <c r="D60">
        <v>153.050003</v>
      </c>
      <c r="E60">
        <v>157.86999499999999</v>
      </c>
      <c r="F60">
        <v>157.66911300000001</v>
      </c>
      <c r="G60">
        <v>137827700</v>
      </c>
      <c r="H60" s="8"/>
      <c r="K60" s="9"/>
      <c r="L60" s="9"/>
      <c r="M60" s="9"/>
    </row>
    <row r="61" spans="1:13" x14ac:dyDescent="0.2">
      <c r="A61" s="1">
        <v>44517</v>
      </c>
      <c r="B61">
        <v>151</v>
      </c>
      <c r="C61">
        <v>155</v>
      </c>
      <c r="D61">
        <v>150.990005</v>
      </c>
      <c r="E61">
        <v>153.490005</v>
      </c>
      <c r="F61">
        <v>153.294693</v>
      </c>
      <c r="G61">
        <v>88807000</v>
      </c>
      <c r="H61" s="8"/>
      <c r="K61" s="9"/>
      <c r="L61" s="9"/>
      <c r="M61" s="9"/>
    </row>
    <row r="62" spans="1:13" x14ac:dyDescent="0.2">
      <c r="A62" s="1">
        <v>44516</v>
      </c>
      <c r="B62">
        <v>149.94000199999999</v>
      </c>
      <c r="C62">
        <v>151.490005</v>
      </c>
      <c r="D62">
        <v>149.33999600000001</v>
      </c>
      <c r="E62">
        <v>151</v>
      </c>
      <c r="F62">
        <v>150.807861</v>
      </c>
      <c r="G62">
        <v>59256200</v>
      </c>
      <c r="H62" s="8"/>
      <c r="K62" s="9"/>
      <c r="L62" s="9"/>
      <c r="M62" s="9"/>
    </row>
    <row r="63" spans="1:13" x14ac:dyDescent="0.2">
      <c r="A63" s="1">
        <v>44515</v>
      </c>
      <c r="B63">
        <v>150.36999499999999</v>
      </c>
      <c r="C63">
        <v>151.88000500000001</v>
      </c>
      <c r="D63">
        <v>149.429993</v>
      </c>
      <c r="E63">
        <v>150</v>
      </c>
      <c r="F63">
        <v>149.80912799999999</v>
      </c>
      <c r="G63">
        <v>59222800</v>
      </c>
      <c r="H63" s="8"/>
      <c r="K63" s="9"/>
      <c r="L63" s="9"/>
      <c r="M63" s="9"/>
    </row>
    <row r="64" spans="1:13" x14ac:dyDescent="0.2">
      <c r="A64" s="1">
        <v>44512</v>
      </c>
      <c r="B64">
        <v>148.429993</v>
      </c>
      <c r="C64">
        <v>150.39999399999999</v>
      </c>
      <c r="D64">
        <v>147.479996</v>
      </c>
      <c r="E64">
        <v>149.990005</v>
      </c>
      <c r="F64">
        <v>149.799149</v>
      </c>
      <c r="G64">
        <v>63632600</v>
      </c>
      <c r="H64" s="8"/>
      <c r="K64" s="9"/>
      <c r="L64" s="9"/>
      <c r="M64" s="9"/>
    </row>
    <row r="65" spans="1:13" x14ac:dyDescent="0.2">
      <c r="A65" s="1">
        <v>44511</v>
      </c>
      <c r="B65">
        <v>148.96000699999999</v>
      </c>
      <c r="C65">
        <v>149.429993</v>
      </c>
      <c r="D65">
        <v>147.679993</v>
      </c>
      <c r="E65">
        <v>147.86999499999999</v>
      </c>
      <c r="F65">
        <v>147.681839</v>
      </c>
      <c r="G65">
        <v>41000000</v>
      </c>
      <c r="H65" s="8"/>
      <c r="K65" s="9"/>
      <c r="L65" s="9"/>
      <c r="M65" s="9"/>
    </row>
    <row r="66" spans="1:13" x14ac:dyDescent="0.2">
      <c r="A66" s="1">
        <v>44510</v>
      </c>
      <c r="B66">
        <v>150.020004</v>
      </c>
      <c r="C66">
        <v>150.13000500000001</v>
      </c>
      <c r="D66">
        <v>147.85000600000001</v>
      </c>
      <c r="E66">
        <v>147.91999799999999</v>
      </c>
      <c r="F66">
        <v>147.73178100000001</v>
      </c>
      <c r="G66">
        <v>65187100</v>
      </c>
      <c r="H66" s="8"/>
      <c r="K66" s="9"/>
      <c r="L66" s="9"/>
      <c r="M66" s="9"/>
    </row>
    <row r="67" spans="1:13" x14ac:dyDescent="0.2">
      <c r="A67" s="1">
        <v>44509</v>
      </c>
      <c r="B67">
        <v>150.199997</v>
      </c>
      <c r="C67">
        <v>151.429993</v>
      </c>
      <c r="D67">
        <v>150.05999800000001</v>
      </c>
      <c r="E67">
        <v>150.80999800000001</v>
      </c>
      <c r="F67">
        <v>150.61810299999999</v>
      </c>
      <c r="G67">
        <v>56787900</v>
      </c>
      <c r="H67" s="8"/>
      <c r="K67" s="9"/>
      <c r="L67" s="9"/>
      <c r="M67" s="9"/>
    </row>
    <row r="68" spans="1:13" x14ac:dyDescent="0.2">
      <c r="A68" s="1">
        <v>44508</v>
      </c>
      <c r="B68">
        <v>151.41000399999999</v>
      </c>
      <c r="C68">
        <v>151.570007</v>
      </c>
      <c r="D68">
        <v>150.16000399999999</v>
      </c>
      <c r="E68">
        <v>150.44000199999999</v>
      </c>
      <c r="F68">
        <v>150.248581</v>
      </c>
      <c r="G68">
        <v>55020900</v>
      </c>
      <c r="H68" s="8"/>
      <c r="K68" s="9"/>
      <c r="L68" s="9"/>
      <c r="M68" s="9"/>
    </row>
    <row r="69" spans="1:13" x14ac:dyDescent="0.2">
      <c r="A69" s="1">
        <v>44505</v>
      </c>
      <c r="B69">
        <v>151.88999899999999</v>
      </c>
      <c r="C69">
        <v>152.199997</v>
      </c>
      <c r="D69">
        <v>150.05999800000001</v>
      </c>
      <c r="E69">
        <v>151.279999</v>
      </c>
      <c r="F69">
        <v>151.08750900000001</v>
      </c>
      <c r="G69">
        <v>65414600</v>
      </c>
      <c r="H69" s="8"/>
      <c r="K69" s="9"/>
      <c r="L69" s="9"/>
      <c r="M69" s="9"/>
    </row>
    <row r="70" spans="1:13" x14ac:dyDescent="0.2">
      <c r="A70" s="1">
        <v>44504</v>
      </c>
      <c r="B70">
        <v>151.58000200000001</v>
      </c>
      <c r="C70">
        <v>152.429993</v>
      </c>
      <c r="D70">
        <v>150.63999899999999</v>
      </c>
      <c r="E70">
        <v>150.96000699999999</v>
      </c>
      <c r="F70">
        <v>150.54818700000001</v>
      </c>
      <c r="G70">
        <v>60394600</v>
      </c>
      <c r="H70" s="8"/>
      <c r="K70" s="9"/>
      <c r="L70" s="9"/>
      <c r="M70" s="9"/>
    </row>
    <row r="71" spans="1:13" x14ac:dyDescent="0.2">
      <c r="A71" s="1">
        <v>44503</v>
      </c>
      <c r="B71">
        <v>150.38999899999999</v>
      </c>
      <c r="C71">
        <v>151.970001</v>
      </c>
      <c r="D71">
        <v>149.820007</v>
      </c>
      <c r="E71">
        <v>151.490005</v>
      </c>
      <c r="F71">
        <v>151.076752</v>
      </c>
      <c r="G71">
        <v>54511500</v>
      </c>
      <c r="H71" s="8"/>
      <c r="K71" s="9"/>
      <c r="L71" s="9"/>
      <c r="M71" s="9"/>
    </row>
    <row r="72" spans="1:13" x14ac:dyDescent="0.2">
      <c r="A72" s="1">
        <v>44502</v>
      </c>
      <c r="B72">
        <v>148.66000399999999</v>
      </c>
      <c r="C72">
        <v>151.570007</v>
      </c>
      <c r="D72">
        <v>148.64999399999999</v>
      </c>
      <c r="E72">
        <v>150.020004</v>
      </c>
      <c r="F72">
        <v>149.61076399999999</v>
      </c>
      <c r="G72">
        <v>69122000</v>
      </c>
      <c r="H72" s="8"/>
      <c r="K72" s="9"/>
      <c r="L72" s="9"/>
      <c r="M72" s="9"/>
    </row>
    <row r="73" spans="1:13" x14ac:dyDescent="0.2">
      <c r="A73" s="1">
        <v>44501</v>
      </c>
      <c r="B73">
        <v>148.990005</v>
      </c>
      <c r="C73">
        <v>149.699997</v>
      </c>
      <c r="D73">
        <v>147.800003</v>
      </c>
      <c r="E73">
        <v>148.96000699999999</v>
      </c>
      <c r="F73">
        <v>148.55365</v>
      </c>
      <c r="G73">
        <v>74588300</v>
      </c>
      <c r="H73" s="8"/>
      <c r="K73" s="9"/>
      <c r="L73" s="9"/>
      <c r="M73" s="9"/>
    </row>
    <row r="74" spans="1:13" x14ac:dyDescent="0.2">
      <c r="A74" s="1">
        <v>44498</v>
      </c>
      <c r="B74">
        <v>147.220001</v>
      </c>
      <c r="C74">
        <v>149.94000199999999</v>
      </c>
      <c r="D74">
        <v>146.41000399999999</v>
      </c>
      <c r="E74">
        <v>149.800003</v>
      </c>
      <c r="F74">
        <v>149.391357</v>
      </c>
      <c r="G74">
        <v>124850400</v>
      </c>
      <c r="H74" s="8"/>
      <c r="K74" s="9"/>
      <c r="L74" s="9"/>
      <c r="M74" s="9"/>
    </row>
    <row r="75" spans="1:13" x14ac:dyDescent="0.2">
      <c r="A75" s="1">
        <v>44497</v>
      </c>
      <c r="B75">
        <v>149.820007</v>
      </c>
      <c r="C75">
        <v>153.16999799999999</v>
      </c>
      <c r="D75">
        <v>149.720001</v>
      </c>
      <c r="E75">
        <v>152.570007</v>
      </c>
      <c r="F75">
        <v>152.153809</v>
      </c>
      <c r="G75">
        <v>100077900</v>
      </c>
      <c r="H75" s="8"/>
      <c r="K75" s="9"/>
      <c r="L75" s="9"/>
      <c r="M75" s="9"/>
    </row>
    <row r="76" spans="1:13" x14ac:dyDescent="0.2">
      <c r="A76" s="1">
        <v>44496</v>
      </c>
      <c r="B76">
        <v>149.36000100000001</v>
      </c>
      <c r="C76">
        <v>149.729996</v>
      </c>
      <c r="D76">
        <v>148.490005</v>
      </c>
      <c r="E76">
        <v>148.85000600000001</v>
      </c>
      <c r="F76">
        <v>148.44395399999999</v>
      </c>
      <c r="G76">
        <v>56094900</v>
      </c>
      <c r="H76" s="8"/>
      <c r="K76" s="9"/>
      <c r="L76" s="9"/>
      <c r="M76" s="9"/>
    </row>
    <row r="77" spans="1:13" x14ac:dyDescent="0.2">
      <c r="A77" s="1">
        <v>44495</v>
      </c>
      <c r="B77">
        <v>149.33000200000001</v>
      </c>
      <c r="C77">
        <v>150.83999600000001</v>
      </c>
      <c r="D77">
        <v>149.009995</v>
      </c>
      <c r="E77">
        <v>149.320007</v>
      </c>
      <c r="F77">
        <v>148.91267400000001</v>
      </c>
      <c r="G77">
        <v>60893400</v>
      </c>
      <c r="H77" s="8"/>
      <c r="K77" s="9"/>
      <c r="L77" s="9"/>
      <c r="M77" s="9"/>
    </row>
    <row r="78" spans="1:13" x14ac:dyDescent="0.2">
      <c r="A78" s="1">
        <v>44494</v>
      </c>
      <c r="B78">
        <v>148.679993</v>
      </c>
      <c r="C78">
        <v>149.36999499999999</v>
      </c>
      <c r="D78">
        <v>147.61999499999999</v>
      </c>
      <c r="E78">
        <v>148.63999899999999</v>
      </c>
      <c r="F78">
        <v>148.23452800000001</v>
      </c>
      <c r="G78">
        <v>50720600</v>
      </c>
      <c r="H78" s="8"/>
      <c r="K78" s="9"/>
      <c r="L78" s="9"/>
      <c r="M78" s="9"/>
    </row>
    <row r="79" spans="1:13" x14ac:dyDescent="0.2">
      <c r="A79" s="1">
        <v>44491</v>
      </c>
      <c r="B79">
        <v>149.69000199999999</v>
      </c>
      <c r="C79">
        <v>150.179993</v>
      </c>
      <c r="D79">
        <v>148.63999899999999</v>
      </c>
      <c r="E79">
        <v>148.69000199999999</v>
      </c>
      <c r="F79">
        <v>148.28439299999999</v>
      </c>
      <c r="G79">
        <v>58883400</v>
      </c>
      <c r="H79" s="8"/>
      <c r="K79" s="9"/>
      <c r="L79" s="9"/>
      <c r="M79" s="9"/>
    </row>
    <row r="80" spans="1:13" x14ac:dyDescent="0.2">
      <c r="A80" s="1">
        <v>44490</v>
      </c>
      <c r="B80">
        <v>148.80999800000001</v>
      </c>
      <c r="C80">
        <v>149.63999899999999</v>
      </c>
      <c r="D80">
        <v>147.86999499999999</v>
      </c>
      <c r="E80">
        <v>149.479996</v>
      </c>
      <c r="F80">
        <v>149.07223500000001</v>
      </c>
      <c r="G80">
        <v>61421000</v>
      </c>
      <c r="H80" s="8"/>
      <c r="K80" s="9"/>
      <c r="L80" s="9"/>
      <c r="M80" s="9"/>
    </row>
    <row r="81" spans="1:13" x14ac:dyDescent="0.2">
      <c r="A81" s="1">
        <v>44489</v>
      </c>
      <c r="B81">
        <v>148.699997</v>
      </c>
      <c r="C81">
        <v>149.75</v>
      </c>
      <c r="D81">
        <v>148.11999499999999</v>
      </c>
      <c r="E81">
        <v>149.259995</v>
      </c>
      <c r="F81">
        <v>148.85282900000001</v>
      </c>
      <c r="G81">
        <v>58418800</v>
      </c>
      <c r="H81" s="8"/>
      <c r="K81" s="9"/>
      <c r="L81" s="9"/>
      <c r="M81" s="9"/>
    </row>
    <row r="82" spans="1:13" x14ac:dyDescent="0.2">
      <c r="A82" s="1">
        <v>44488</v>
      </c>
      <c r="B82">
        <v>147.009995</v>
      </c>
      <c r="C82">
        <v>149.16999799999999</v>
      </c>
      <c r="D82">
        <v>146.550003</v>
      </c>
      <c r="E82">
        <v>148.759995</v>
      </c>
      <c r="F82">
        <v>148.354187</v>
      </c>
      <c r="G82">
        <v>76378900</v>
      </c>
      <c r="H82" s="8"/>
      <c r="K82" s="9"/>
      <c r="L82" s="9"/>
      <c r="M82" s="9"/>
    </row>
    <row r="83" spans="1:13" x14ac:dyDescent="0.2">
      <c r="A83" s="1">
        <v>44487</v>
      </c>
      <c r="B83">
        <v>143.449997</v>
      </c>
      <c r="C83">
        <v>146.83999600000001</v>
      </c>
      <c r="D83">
        <v>143.16000399999999</v>
      </c>
      <c r="E83">
        <v>146.550003</v>
      </c>
      <c r="F83">
        <v>146.15022300000001</v>
      </c>
      <c r="G83">
        <v>85589200</v>
      </c>
      <c r="H83" s="8"/>
      <c r="K83" s="9"/>
      <c r="L83" s="9"/>
      <c r="M83" s="9"/>
    </row>
    <row r="84" spans="1:13" x14ac:dyDescent="0.2">
      <c r="A84" s="1">
        <v>44484</v>
      </c>
      <c r="B84">
        <v>143.770004</v>
      </c>
      <c r="C84">
        <v>144.89999399999999</v>
      </c>
      <c r="D84">
        <v>143.509995</v>
      </c>
      <c r="E84">
        <v>144.83999600000001</v>
      </c>
      <c r="F84">
        <v>144.444885</v>
      </c>
      <c r="G84">
        <v>67885200</v>
      </c>
      <c r="H84" s="8"/>
      <c r="K84" s="9"/>
      <c r="L84" s="9"/>
      <c r="M84" s="9"/>
    </row>
    <row r="85" spans="1:13" x14ac:dyDescent="0.2">
      <c r="A85" s="1">
        <v>44483</v>
      </c>
      <c r="B85">
        <v>142.11000100000001</v>
      </c>
      <c r="C85">
        <v>143.88000500000001</v>
      </c>
      <c r="D85">
        <v>141.509995</v>
      </c>
      <c r="E85">
        <v>143.759995</v>
      </c>
      <c r="F85">
        <v>143.367828</v>
      </c>
      <c r="G85">
        <v>69907100</v>
      </c>
      <c r="H85" s="8"/>
      <c r="K85" s="9"/>
      <c r="L85" s="9"/>
      <c r="M85" s="9"/>
    </row>
    <row r="86" spans="1:13" x14ac:dyDescent="0.2">
      <c r="A86" s="1">
        <v>44482</v>
      </c>
      <c r="B86">
        <v>141.240005</v>
      </c>
      <c r="C86">
        <v>141.39999399999999</v>
      </c>
      <c r="D86">
        <v>139.199997</v>
      </c>
      <c r="E86">
        <v>140.91000399999999</v>
      </c>
      <c r="F86">
        <v>140.52560399999999</v>
      </c>
      <c r="G86">
        <v>78762700</v>
      </c>
      <c r="H86" s="8"/>
      <c r="K86" s="9"/>
      <c r="L86" s="9"/>
      <c r="M86" s="9"/>
    </row>
    <row r="87" spans="1:13" x14ac:dyDescent="0.2">
      <c r="A87" s="1">
        <v>44481</v>
      </c>
      <c r="B87">
        <v>143.229996</v>
      </c>
      <c r="C87">
        <v>143.25</v>
      </c>
      <c r="D87">
        <v>141.03999300000001</v>
      </c>
      <c r="E87">
        <v>141.509995</v>
      </c>
      <c r="F87">
        <v>141.12396200000001</v>
      </c>
      <c r="G87">
        <v>73035900</v>
      </c>
      <c r="H87" s="8"/>
      <c r="K87" s="9"/>
      <c r="L87" s="9"/>
      <c r="M87" s="9"/>
    </row>
    <row r="88" spans="1:13" x14ac:dyDescent="0.2">
      <c r="A88" s="1">
        <v>44480</v>
      </c>
      <c r="B88">
        <v>142.270004</v>
      </c>
      <c r="C88">
        <v>144.80999800000001</v>
      </c>
      <c r="D88">
        <v>141.80999800000001</v>
      </c>
      <c r="E88">
        <v>142.80999800000001</v>
      </c>
      <c r="F88">
        <v>142.42042499999999</v>
      </c>
      <c r="G88">
        <v>64452200</v>
      </c>
      <c r="H88" s="8"/>
      <c r="K88" s="9"/>
      <c r="L88" s="9"/>
      <c r="M88" s="9"/>
    </row>
    <row r="89" spans="1:13" x14ac:dyDescent="0.2">
      <c r="A89" s="1">
        <v>44477</v>
      </c>
      <c r="B89">
        <v>144.029999</v>
      </c>
      <c r="C89">
        <v>144.179993</v>
      </c>
      <c r="D89">
        <v>142.55999800000001</v>
      </c>
      <c r="E89">
        <v>142.89999399999999</v>
      </c>
      <c r="F89">
        <v>142.51016200000001</v>
      </c>
      <c r="G89">
        <v>58718700</v>
      </c>
      <c r="H89" s="8"/>
      <c r="K89" s="9"/>
      <c r="L89" s="9"/>
      <c r="M89" s="9"/>
    </row>
    <row r="90" spans="1:13" x14ac:dyDescent="0.2">
      <c r="A90" s="1">
        <v>44476</v>
      </c>
      <c r="B90">
        <v>143.05999800000001</v>
      </c>
      <c r="C90">
        <v>144.220001</v>
      </c>
      <c r="D90">
        <v>142.720001</v>
      </c>
      <c r="E90">
        <v>143.28999300000001</v>
      </c>
      <c r="F90">
        <v>142.89910900000001</v>
      </c>
      <c r="G90">
        <v>61732700</v>
      </c>
      <c r="H90" s="8"/>
      <c r="K90" s="9"/>
      <c r="L90" s="9"/>
      <c r="M90" s="9"/>
    </row>
    <row r="91" spans="1:13" x14ac:dyDescent="0.2">
      <c r="A91" s="1">
        <v>44475</v>
      </c>
      <c r="B91">
        <v>139.470001</v>
      </c>
      <c r="C91">
        <v>142.14999399999999</v>
      </c>
      <c r="D91">
        <v>138.36999499999999</v>
      </c>
      <c r="E91">
        <v>142</v>
      </c>
      <c r="F91">
        <v>141.61264</v>
      </c>
      <c r="G91">
        <v>83221100</v>
      </c>
      <c r="H91" s="8"/>
      <c r="K91" s="9"/>
      <c r="L91" s="9"/>
      <c r="M91" s="9"/>
    </row>
    <row r="92" spans="1:13" x14ac:dyDescent="0.2">
      <c r="A92" s="1">
        <v>44474</v>
      </c>
      <c r="B92">
        <v>139.490005</v>
      </c>
      <c r="C92">
        <v>142.240005</v>
      </c>
      <c r="D92">
        <v>139.36000100000001</v>
      </c>
      <c r="E92">
        <v>141.11000100000001</v>
      </c>
      <c r="F92">
        <v>140.725067</v>
      </c>
      <c r="G92">
        <v>80861100</v>
      </c>
      <c r="H92" s="8"/>
      <c r="K92" s="9"/>
      <c r="L92" s="9"/>
      <c r="M92" s="9"/>
    </row>
    <row r="93" spans="1:13" x14ac:dyDescent="0.2">
      <c r="A93" s="1">
        <v>44473</v>
      </c>
      <c r="B93">
        <v>141.759995</v>
      </c>
      <c r="C93">
        <v>142.21000699999999</v>
      </c>
      <c r="D93">
        <v>138.270004</v>
      </c>
      <c r="E93">
        <v>139.13999899999999</v>
      </c>
      <c r="F93">
        <v>138.760437</v>
      </c>
      <c r="G93">
        <v>98322000</v>
      </c>
      <c r="H93" s="8"/>
      <c r="K93" s="9"/>
      <c r="L93" s="9"/>
      <c r="M93" s="9"/>
    </row>
    <row r="94" spans="1:13" x14ac:dyDescent="0.2">
      <c r="A94" s="1">
        <v>44470</v>
      </c>
      <c r="B94">
        <v>141.89999399999999</v>
      </c>
      <c r="C94">
        <v>142.91999799999999</v>
      </c>
      <c r="D94">
        <v>139.11000100000001</v>
      </c>
      <c r="E94">
        <v>142.64999399999999</v>
      </c>
      <c r="F94">
        <v>142.26084900000001</v>
      </c>
      <c r="G94">
        <v>94639600</v>
      </c>
      <c r="H94" s="8"/>
      <c r="K94" s="9"/>
      <c r="L94" s="9"/>
      <c r="M94" s="9"/>
    </row>
    <row r="95" spans="1:13" x14ac:dyDescent="0.2">
      <c r="A95" s="1">
        <v>44469</v>
      </c>
      <c r="B95">
        <v>143.66000399999999</v>
      </c>
      <c r="C95">
        <v>144.38000500000001</v>
      </c>
      <c r="D95">
        <v>141.279999</v>
      </c>
      <c r="E95">
        <v>141.5</v>
      </c>
      <c r="F95">
        <v>141.11399800000001</v>
      </c>
      <c r="G95">
        <v>88934200</v>
      </c>
      <c r="H95" s="8"/>
      <c r="K95" s="9"/>
      <c r="L95" s="9"/>
      <c r="M95" s="9"/>
    </row>
    <row r="96" spans="1:13" x14ac:dyDescent="0.2">
      <c r="A96" s="1">
        <v>44468</v>
      </c>
      <c r="B96">
        <v>142.470001</v>
      </c>
      <c r="C96">
        <v>144.449997</v>
      </c>
      <c r="D96">
        <v>142.029999</v>
      </c>
      <c r="E96">
        <v>142.83000200000001</v>
      </c>
      <c r="F96">
        <v>142.440369</v>
      </c>
      <c r="G96">
        <v>74602000</v>
      </c>
      <c r="H96" s="8"/>
      <c r="K96" s="9"/>
      <c r="L96" s="9"/>
      <c r="M96" s="9"/>
    </row>
    <row r="97" spans="1:13" x14ac:dyDescent="0.2">
      <c r="A97" s="1">
        <v>44467</v>
      </c>
      <c r="B97">
        <v>143.25</v>
      </c>
      <c r="C97">
        <v>144.75</v>
      </c>
      <c r="D97">
        <v>141.69000199999999</v>
      </c>
      <c r="E97">
        <v>141.91000399999999</v>
      </c>
      <c r="F97">
        <v>141.52288799999999</v>
      </c>
      <c r="G97">
        <v>108972300</v>
      </c>
      <c r="H97" s="8"/>
      <c r="K97" s="9"/>
      <c r="L97" s="9"/>
      <c r="M97" s="9"/>
    </row>
    <row r="98" spans="1:13" x14ac:dyDescent="0.2">
      <c r="A98" s="1">
        <v>44466</v>
      </c>
      <c r="B98">
        <v>145.470001</v>
      </c>
      <c r="C98">
        <v>145.96000699999999</v>
      </c>
      <c r="D98">
        <v>143.820007</v>
      </c>
      <c r="E98">
        <v>145.36999499999999</v>
      </c>
      <c r="F98">
        <v>144.97345000000001</v>
      </c>
      <c r="G98">
        <v>74150700</v>
      </c>
      <c r="H98" s="8"/>
      <c r="K98" s="9"/>
      <c r="L98" s="9"/>
      <c r="M98" s="9"/>
    </row>
    <row r="99" spans="1:13" x14ac:dyDescent="0.2">
      <c r="A99" s="1">
        <v>44463</v>
      </c>
      <c r="B99">
        <v>145.66000399999999</v>
      </c>
      <c r="C99">
        <v>147.470001</v>
      </c>
      <c r="D99">
        <v>145.55999800000001</v>
      </c>
      <c r="E99">
        <v>146.91999799999999</v>
      </c>
      <c r="F99">
        <v>146.51921100000001</v>
      </c>
      <c r="G99">
        <v>53477900</v>
      </c>
      <c r="H99" s="8"/>
      <c r="K99" s="9"/>
      <c r="L99" s="9"/>
      <c r="M99" s="9"/>
    </row>
    <row r="100" spans="1:13" x14ac:dyDescent="0.2">
      <c r="A100" s="1">
        <v>44462</v>
      </c>
      <c r="B100">
        <v>146.64999399999999</v>
      </c>
      <c r="C100">
        <v>147.08000200000001</v>
      </c>
      <c r="D100">
        <v>145.63999899999999</v>
      </c>
      <c r="E100">
        <v>146.83000200000001</v>
      </c>
      <c r="F100">
        <v>146.42945900000001</v>
      </c>
      <c r="G100">
        <v>64838200</v>
      </c>
      <c r="H100" s="8"/>
      <c r="K100" s="9"/>
      <c r="L100" s="9"/>
      <c r="M100" s="9"/>
    </row>
    <row r="101" spans="1:13" x14ac:dyDescent="0.2">
      <c r="A101" s="1">
        <v>44461</v>
      </c>
      <c r="B101">
        <v>144.449997</v>
      </c>
      <c r="C101">
        <v>146.429993</v>
      </c>
      <c r="D101">
        <v>143.699997</v>
      </c>
      <c r="E101">
        <v>145.85000600000001</v>
      </c>
      <c r="F101">
        <v>145.452133</v>
      </c>
      <c r="G101">
        <v>76404300</v>
      </c>
      <c r="H101" s="8"/>
      <c r="K101" s="9"/>
      <c r="L101" s="9"/>
      <c r="M101" s="9"/>
    </row>
    <row r="102" spans="1:13" x14ac:dyDescent="0.2">
      <c r="A102" s="1">
        <v>44460</v>
      </c>
      <c r="B102">
        <v>143.929993</v>
      </c>
      <c r="C102">
        <v>144.60000600000001</v>
      </c>
      <c r="D102">
        <v>142.779999</v>
      </c>
      <c r="E102">
        <v>143.429993</v>
      </c>
      <c r="F102">
        <v>143.03872699999999</v>
      </c>
      <c r="G102">
        <v>75834000</v>
      </c>
      <c r="H102" s="8"/>
      <c r="K102" s="9"/>
      <c r="L102" s="9"/>
      <c r="M102" s="9"/>
    </row>
    <row r="103" spans="1:13" x14ac:dyDescent="0.2">
      <c r="A103" s="1">
        <v>44459</v>
      </c>
      <c r="B103">
        <v>143.800003</v>
      </c>
      <c r="C103">
        <v>144.83999600000001</v>
      </c>
      <c r="D103">
        <v>141.270004</v>
      </c>
      <c r="E103">
        <v>142.94000199999999</v>
      </c>
      <c r="F103">
        <v>142.55006399999999</v>
      </c>
      <c r="G103">
        <v>123478900</v>
      </c>
      <c r="H103" s="8"/>
      <c r="K103" s="9"/>
      <c r="L103" s="9"/>
      <c r="M103" s="9"/>
    </row>
    <row r="104" spans="1:13" x14ac:dyDescent="0.2">
      <c r="A104" s="1">
        <v>44456</v>
      </c>
      <c r="B104">
        <v>148.820007</v>
      </c>
      <c r="C104">
        <v>148.820007</v>
      </c>
      <c r="D104">
        <v>145.759995</v>
      </c>
      <c r="E104">
        <v>146.05999800000001</v>
      </c>
      <c r="F104">
        <v>145.66156000000001</v>
      </c>
      <c r="G104">
        <v>129868800</v>
      </c>
      <c r="H104" s="8"/>
      <c r="K104" s="9"/>
      <c r="L104" s="9"/>
      <c r="M104" s="9"/>
    </row>
    <row r="105" spans="1:13" x14ac:dyDescent="0.2">
      <c r="A105" s="1">
        <v>44455</v>
      </c>
      <c r="B105">
        <v>148.44000199999999</v>
      </c>
      <c r="C105">
        <v>148.970001</v>
      </c>
      <c r="D105">
        <v>147.220001</v>
      </c>
      <c r="E105">
        <v>148.78999300000001</v>
      </c>
      <c r="F105">
        <v>148.384094</v>
      </c>
      <c r="G105">
        <v>68034100</v>
      </c>
      <c r="H105" s="8"/>
      <c r="K105" s="9"/>
      <c r="L105" s="9"/>
      <c r="M105" s="9"/>
    </row>
    <row r="106" spans="1:13" x14ac:dyDescent="0.2">
      <c r="A106" s="1">
        <v>44454</v>
      </c>
      <c r="B106">
        <v>148.55999800000001</v>
      </c>
      <c r="C106">
        <v>149.44000199999999</v>
      </c>
      <c r="D106">
        <v>146.36999499999999</v>
      </c>
      <c r="E106">
        <v>149.029999</v>
      </c>
      <c r="F106">
        <v>148.623459</v>
      </c>
      <c r="G106">
        <v>83281300</v>
      </c>
      <c r="H106" s="8"/>
      <c r="K106" s="9"/>
      <c r="L106" s="9"/>
      <c r="M106" s="9"/>
    </row>
    <row r="107" spans="1:13" x14ac:dyDescent="0.2">
      <c r="A107" s="1">
        <v>44453</v>
      </c>
      <c r="B107">
        <v>150.35000600000001</v>
      </c>
      <c r="C107">
        <v>151.070007</v>
      </c>
      <c r="D107">
        <v>146.91000399999999</v>
      </c>
      <c r="E107">
        <v>148.11999499999999</v>
      </c>
      <c r="F107">
        <v>147.71592699999999</v>
      </c>
      <c r="G107">
        <v>109296300</v>
      </c>
      <c r="H107" s="8"/>
      <c r="K107" s="9"/>
      <c r="L107" s="9"/>
      <c r="M107" s="9"/>
    </row>
    <row r="108" spans="1:13" x14ac:dyDescent="0.2">
      <c r="A108" s="1">
        <v>44452</v>
      </c>
      <c r="B108">
        <v>150.63000500000001</v>
      </c>
      <c r="C108">
        <v>151.41999799999999</v>
      </c>
      <c r="D108">
        <v>148.75</v>
      </c>
      <c r="E108">
        <v>149.550003</v>
      </c>
      <c r="F108">
        <v>149.142044</v>
      </c>
      <c r="G108">
        <v>102404300</v>
      </c>
      <c r="H108" s="8"/>
      <c r="K108" s="9"/>
      <c r="L108" s="9"/>
      <c r="M108" s="9"/>
    </row>
    <row r="109" spans="1:13" x14ac:dyDescent="0.2">
      <c r="A109" s="1">
        <v>44449</v>
      </c>
      <c r="B109">
        <v>155</v>
      </c>
      <c r="C109">
        <v>155.479996</v>
      </c>
      <c r="D109">
        <v>148.699997</v>
      </c>
      <c r="E109">
        <v>148.970001</v>
      </c>
      <c r="F109">
        <v>148.563614</v>
      </c>
      <c r="G109">
        <v>140646400</v>
      </c>
      <c r="H109" s="8"/>
      <c r="K109" s="9"/>
      <c r="L109" s="9"/>
      <c r="M109" s="9"/>
    </row>
    <row r="110" spans="1:13" x14ac:dyDescent="0.2">
      <c r="A110" s="1">
        <v>44448</v>
      </c>
      <c r="B110">
        <v>155.490005</v>
      </c>
      <c r="C110">
        <v>156.11000100000001</v>
      </c>
      <c r="D110">
        <v>153.949997</v>
      </c>
      <c r="E110">
        <v>154.070007</v>
      </c>
      <c r="F110">
        <v>153.649719</v>
      </c>
      <c r="G110">
        <v>57305700</v>
      </c>
      <c r="H110" s="8"/>
      <c r="K110" s="9"/>
      <c r="L110" s="9"/>
      <c r="M110" s="9"/>
    </row>
    <row r="111" spans="1:13" x14ac:dyDescent="0.2">
      <c r="A111" s="1">
        <v>44447</v>
      </c>
      <c r="B111">
        <v>156.979996</v>
      </c>
      <c r="C111">
        <v>157.03999300000001</v>
      </c>
      <c r="D111">
        <v>153.979996</v>
      </c>
      <c r="E111">
        <v>155.11000100000001</v>
      </c>
      <c r="F111">
        <v>154.68687399999999</v>
      </c>
      <c r="G111">
        <v>74420200</v>
      </c>
      <c r="H111" s="8"/>
      <c r="K111" s="9"/>
      <c r="L111" s="9"/>
      <c r="M111" s="9"/>
    </row>
    <row r="112" spans="1:13" x14ac:dyDescent="0.2">
      <c r="A112" s="1">
        <v>44446</v>
      </c>
      <c r="B112">
        <v>154.970001</v>
      </c>
      <c r="C112">
        <v>157.259995</v>
      </c>
      <c r="D112">
        <v>154.38999899999999</v>
      </c>
      <c r="E112">
        <v>156.69000199999999</v>
      </c>
      <c r="F112">
        <v>156.262573</v>
      </c>
      <c r="G112">
        <v>82278300</v>
      </c>
      <c r="H112" s="8"/>
      <c r="K112" s="9"/>
      <c r="L112" s="9"/>
      <c r="M112" s="9"/>
    </row>
    <row r="113" spans="1:13" x14ac:dyDescent="0.2">
      <c r="A113" s="1">
        <v>44442</v>
      </c>
      <c r="B113">
        <v>153.759995</v>
      </c>
      <c r="C113">
        <v>154.63000500000001</v>
      </c>
      <c r="D113">
        <v>153.08999600000001</v>
      </c>
      <c r="E113">
        <v>154.300003</v>
      </c>
      <c r="F113">
        <v>153.87908899999999</v>
      </c>
      <c r="G113">
        <v>57808700</v>
      </c>
      <c r="H113" s="8"/>
      <c r="K113" s="9"/>
      <c r="L113" s="9"/>
      <c r="M113" s="9"/>
    </row>
    <row r="114" spans="1:13" x14ac:dyDescent="0.2">
      <c r="A114" s="1">
        <v>44441</v>
      </c>
      <c r="B114">
        <v>153.86999499999999</v>
      </c>
      <c r="C114">
        <v>154.720001</v>
      </c>
      <c r="D114">
        <v>152.39999399999999</v>
      </c>
      <c r="E114">
        <v>153.64999399999999</v>
      </c>
      <c r="F114">
        <v>153.23085</v>
      </c>
      <c r="G114">
        <v>71115500</v>
      </c>
      <c r="H114" s="8"/>
      <c r="K114" s="9"/>
      <c r="L114" s="9"/>
      <c r="M114" s="9"/>
    </row>
    <row r="115" spans="1:13" x14ac:dyDescent="0.2">
      <c r="A115" s="1">
        <v>44440</v>
      </c>
      <c r="B115">
        <v>152.83000200000001</v>
      </c>
      <c r="C115">
        <v>154.979996</v>
      </c>
      <c r="D115">
        <v>152.33999600000001</v>
      </c>
      <c r="E115">
        <v>152.509995</v>
      </c>
      <c r="F115">
        <v>152.093964</v>
      </c>
      <c r="G115">
        <v>80313700</v>
      </c>
      <c r="H115" s="8"/>
      <c r="K115" s="9"/>
      <c r="L115" s="9"/>
      <c r="M115" s="9"/>
    </row>
    <row r="116" spans="1:13" x14ac:dyDescent="0.2">
      <c r="A116" s="1">
        <v>44439</v>
      </c>
      <c r="B116">
        <v>152.66000399999999</v>
      </c>
      <c r="C116">
        <v>152.800003</v>
      </c>
      <c r="D116">
        <v>151.28999300000001</v>
      </c>
      <c r="E116">
        <v>151.83000200000001</v>
      </c>
      <c r="F116">
        <v>151.415817</v>
      </c>
      <c r="G116">
        <v>86453100</v>
      </c>
      <c r="H116" s="8"/>
      <c r="K116" s="9"/>
      <c r="L116" s="9"/>
      <c r="M116" s="9"/>
    </row>
    <row r="117" spans="1:13" x14ac:dyDescent="0.2">
      <c r="A117" s="1">
        <v>44438</v>
      </c>
      <c r="B117">
        <v>149</v>
      </c>
      <c r="C117">
        <v>153.490005</v>
      </c>
      <c r="D117">
        <v>148.61000100000001</v>
      </c>
      <c r="E117">
        <v>153.11999499999999</v>
      </c>
      <c r="F117">
        <v>152.70228599999999</v>
      </c>
      <c r="G117">
        <v>90956700</v>
      </c>
      <c r="H117" s="8"/>
      <c r="K117" s="9"/>
      <c r="L117" s="9"/>
      <c r="M117" s="9"/>
    </row>
    <row r="118" spans="1:13" x14ac:dyDescent="0.2">
      <c r="A118" s="1">
        <v>44435</v>
      </c>
      <c r="B118">
        <v>147.479996</v>
      </c>
      <c r="C118">
        <v>148.75</v>
      </c>
      <c r="D118">
        <v>146.83000200000001</v>
      </c>
      <c r="E118">
        <v>148.60000600000001</v>
      </c>
      <c r="F118">
        <v>148.19464099999999</v>
      </c>
      <c r="G118">
        <v>55721500</v>
      </c>
      <c r="H118" s="8"/>
      <c r="K118" s="9"/>
      <c r="L118" s="9"/>
      <c r="M118" s="9"/>
    </row>
    <row r="119" spans="1:13" x14ac:dyDescent="0.2">
      <c r="A119" s="1">
        <v>44434</v>
      </c>
      <c r="B119">
        <v>148.35000600000001</v>
      </c>
      <c r="C119">
        <v>149.11999499999999</v>
      </c>
      <c r="D119">
        <v>147.509995</v>
      </c>
      <c r="E119">
        <v>147.53999300000001</v>
      </c>
      <c r="F119">
        <v>147.13752700000001</v>
      </c>
      <c r="G119">
        <v>48597200</v>
      </c>
      <c r="H119" s="8"/>
      <c r="K119" s="9"/>
      <c r="L119" s="9"/>
      <c r="M119" s="9"/>
    </row>
    <row r="120" spans="1:13" x14ac:dyDescent="0.2">
      <c r="A120" s="1">
        <v>44433</v>
      </c>
      <c r="B120">
        <v>149.80999800000001</v>
      </c>
      <c r="C120">
        <v>150.320007</v>
      </c>
      <c r="D120">
        <v>147.800003</v>
      </c>
      <c r="E120">
        <v>148.36000100000001</v>
      </c>
      <c r="F120">
        <v>147.955276</v>
      </c>
      <c r="G120">
        <v>58991300</v>
      </c>
      <c r="H120" s="8"/>
      <c r="K120" s="9"/>
      <c r="L120" s="9"/>
      <c r="M120" s="9"/>
    </row>
    <row r="121" spans="1:13" x14ac:dyDescent="0.2">
      <c r="A121" s="1">
        <v>44432</v>
      </c>
      <c r="B121">
        <v>149.449997</v>
      </c>
      <c r="C121">
        <v>150.86000100000001</v>
      </c>
      <c r="D121">
        <v>149.14999399999999</v>
      </c>
      <c r="E121">
        <v>149.61999499999999</v>
      </c>
      <c r="F121">
        <v>149.211838</v>
      </c>
      <c r="G121">
        <v>48606400</v>
      </c>
      <c r="H121" s="8"/>
      <c r="K121" s="9"/>
      <c r="L121" s="9"/>
      <c r="M121" s="9"/>
    </row>
    <row r="122" spans="1:13" x14ac:dyDescent="0.2">
      <c r="A122" s="1">
        <v>44431</v>
      </c>
      <c r="B122">
        <v>148.30999800000001</v>
      </c>
      <c r="C122">
        <v>150.19000199999999</v>
      </c>
      <c r="D122">
        <v>147.88999899999999</v>
      </c>
      <c r="E122">
        <v>149.71000699999999</v>
      </c>
      <c r="F122">
        <v>149.30162000000001</v>
      </c>
      <c r="G122">
        <v>60131800</v>
      </c>
      <c r="H122" s="8"/>
      <c r="K122" s="9"/>
      <c r="L122" s="9"/>
      <c r="M122" s="9"/>
    </row>
    <row r="123" spans="1:13" x14ac:dyDescent="0.2">
      <c r="A123" s="1">
        <v>44428</v>
      </c>
      <c r="B123">
        <v>147.44000199999999</v>
      </c>
      <c r="C123">
        <v>148.5</v>
      </c>
      <c r="D123">
        <v>146.779999</v>
      </c>
      <c r="E123">
        <v>148.19000199999999</v>
      </c>
      <c r="F123">
        <v>147.785751</v>
      </c>
      <c r="G123">
        <v>59947400</v>
      </c>
      <c r="H123" s="8"/>
      <c r="K123" s="9"/>
      <c r="L123" s="9"/>
      <c r="M123" s="9"/>
    </row>
    <row r="124" spans="1:13" x14ac:dyDescent="0.2">
      <c r="A124" s="1">
        <v>44427</v>
      </c>
      <c r="B124">
        <v>145.029999</v>
      </c>
      <c r="C124">
        <v>148</v>
      </c>
      <c r="D124">
        <v>144.5</v>
      </c>
      <c r="E124">
        <v>146.699997</v>
      </c>
      <c r="F124">
        <v>146.29982000000001</v>
      </c>
      <c r="G124">
        <v>86960300</v>
      </c>
      <c r="H124" s="8"/>
      <c r="K124" s="9"/>
      <c r="L124" s="9"/>
      <c r="M124" s="9"/>
    </row>
    <row r="125" spans="1:13" x14ac:dyDescent="0.2">
      <c r="A125" s="1">
        <v>44426</v>
      </c>
      <c r="B125">
        <v>149.800003</v>
      </c>
      <c r="C125">
        <v>150.720001</v>
      </c>
      <c r="D125">
        <v>146.14999399999999</v>
      </c>
      <c r="E125">
        <v>146.36000100000001</v>
      </c>
      <c r="F125">
        <v>145.96073899999999</v>
      </c>
      <c r="G125">
        <v>86326000</v>
      </c>
      <c r="H125" s="8"/>
      <c r="K125" s="9"/>
      <c r="L125" s="9"/>
      <c r="M125" s="9"/>
    </row>
    <row r="126" spans="1:13" x14ac:dyDescent="0.2">
      <c r="A126" s="1">
        <v>44425</v>
      </c>
      <c r="B126">
        <v>150.229996</v>
      </c>
      <c r="C126">
        <v>151.679993</v>
      </c>
      <c r="D126">
        <v>149.08999600000001</v>
      </c>
      <c r="E126">
        <v>150.19000199999999</v>
      </c>
      <c r="F126">
        <v>149.780304</v>
      </c>
      <c r="G126">
        <v>92229700</v>
      </c>
      <c r="H126" s="8"/>
      <c r="K126" s="9"/>
      <c r="L126" s="9"/>
      <c r="M126" s="9"/>
    </row>
    <row r="127" spans="1:13" x14ac:dyDescent="0.2">
      <c r="A127" s="1">
        <v>44424</v>
      </c>
      <c r="B127">
        <v>148.53999300000001</v>
      </c>
      <c r="C127">
        <v>151.19000199999999</v>
      </c>
      <c r="D127">
        <v>146.470001</v>
      </c>
      <c r="E127">
        <v>151.11999499999999</v>
      </c>
      <c r="F127">
        <v>150.70774800000001</v>
      </c>
      <c r="G127">
        <v>103296000</v>
      </c>
      <c r="H127" s="8"/>
      <c r="K127" s="9"/>
      <c r="L127" s="9"/>
      <c r="M127" s="9"/>
    </row>
    <row r="128" spans="1:13" x14ac:dyDescent="0.2">
      <c r="A128" s="1">
        <v>44421</v>
      </c>
      <c r="B128">
        <v>148.970001</v>
      </c>
      <c r="C128">
        <v>149.44000199999999</v>
      </c>
      <c r="D128">
        <v>148.270004</v>
      </c>
      <c r="E128">
        <v>149.10000600000001</v>
      </c>
      <c r="F128">
        <v>148.69326799999999</v>
      </c>
      <c r="G128">
        <v>59318800</v>
      </c>
      <c r="H128" s="8"/>
      <c r="K128" s="9"/>
      <c r="L128" s="9"/>
      <c r="M128" s="9"/>
    </row>
    <row r="129" spans="1:13" x14ac:dyDescent="0.2">
      <c r="A129" s="1">
        <v>44420</v>
      </c>
      <c r="B129">
        <v>146.19000199999999</v>
      </c>
      <c r="C129">
        <v>149.050003</v>
      </c>
      <c r="D129">
        <v>145.83999600000001</v>
      </c>
      <c r="E129">
        <v>148.88999899999999</v>
      </c>
      <c r="F129">
        <v>148.48384100000001</v>
      </c>
      <c r="G129">
        <v>72282600</v>
      </c>
      <c r="H129" s="8"/>
      <c r="K129" s="9"/>
      <c r="L129" s="9"/>
      <c r="M129" s="9"/>
    </row>
    <row r="130" spans="1:13" x14ac:dyDescent="0.2">
      <c r="A130" s="1">
        <v>44419</v>
      </c>
      <c r="B130">
        <v>146.050003</v>
      </c>
      <c r="C130">
        <v>146.720001</v>
      </c>
      <c r="D130">
        <v>145.529999</v>
      </c>
      <c r="E130">
        <v>145.86000100000001</v>
      </c>
      <c r="F130">
        <v>145.46211199999999</v>
      </c>
      <c r="G130">
        <v>48493500</v>
      </c>
      <c r="H130" s="8"/>
      <c r="K130" s="9"/>
      <c r="L130" s="9"/>
      <c r="M130" s="9"/>
    </row>
    <row r="131" spans="1:13" x14ac:dyDescent="0.2">
      <c r="A131" s="1">
        <v>44418</v>
      </c>
      <c r="B131">
        <v>146.44000199999999</v>
      </c>
      <c r="C131">
        <v>147.71000699999999</v>
      </c>
      <c r="D131">
        <v>145.300003</v>
      </c>
      <c r="E131">
        <v>145.60000600000001</v>
      </c>
      <c r="F131">
        <v>145.20282</v>
      </c>
      <c r="G131">
        <v>69023100</v>
      </c>
      <c r="H131" s="8"/>
      <c r="K131" s="9"/>
      <c r="L131" s="9"/>
      <c r="M131" s="9"/>
    </row>
    <row r="132" spans="1:13" x14ac:dyDescent="0.2">
      <c r="A132" s="1">
        <v>44417</v>
      </c>
      <c r="B132">
        <v>146.199997</v>
      </c>
      <c r="C132">
        <v>146.699997</v>
      </c>
      <c r="D132">
        <v>145.520004</v>
      </c>
      <c r="E132">
        <v>146.08999600000001</v>
      </c>
      <c r="F132">
        <v>145.69146699999999</v>
      </c>
      <c r="G132">
        <v>48908700</v>
      </c>
      <c r="H132" s="8"/>
      <c r="K132" s="9"/>
      <c r="L132" s="9"/>
      <c r="M132" s="9"/>
    </row>
    <row r="133" spans="1:13" x14ac:dyDescent="0.2">
      <c r="A133" s="1">
        <v>44414</v>
      </c>
      <c r="B133">
        <v>146.35000600000001</v>
      </c>
      <c r="C133">
        <v>147.11000100000001</v>
      </c>
      <c r="D133">
        <v>145.63000500000001</v>
      </c>
      <c r="E133">
        <v>146.13999899999999</v>
      </c>
      <c r="F133">
        <v>145.741333</v>
      </c>
      <c r="G133">
        <v>54067400</v>
      </c>
      <c r="H133" s="8"/>
      <c r="K133" s="9"/>
      <c r="L133" s="9"/>
      <c r="M133" s="9"/>
    </row>
    <row r="134" spans="1:13" x14ac:dyDescent="0.2">
      <c r="A134" s="1">
        <v>44413</v>
      </c>
      <c r="B134">
        <v>146.979996</v>
      </c>
      <c r="C134">
        <v>147.83999600000001</v>
      </c>
      <c r="D134">
        <v>146.16999799999999</v>
      </c>
      <c r="E134">
        <v>147.05999800000001</v>
      </c>
      <c r="F134">
        <v>146.43942300000001</v>
      </c>
      <c r="G134">
        <v>46397700</v>
      </c>
      <c r="H134" s="8"/>
      <c r="K134" s="9"/>
      <c r="L134" s="9"/>
      <c r="M134" s="9"/>
    </row>
    <row r="135" spans="1:13" x14ac:dyDescent="0.2">
      <c r="A135" s="1">
        <v>44412</v>
      </c>
      <c r="B135">
        <v>147.270004</v>
      </c>
      <c r="C135">
        <v>147.78999300000001</v>
      </c>
      <c r="D135">
        <v>146.279999</v>
      </c>
      <c r="E135">
        <v>146.949997</v>
      </c>
      <c r="F135">
        <v>146.32989499999999</v>
      </c>
      <c r="G135">
        <v>56368300</v>
      </c>
      <c r="H135" s="8"/>
      <c r="K135" s="9"/>
      <c r="L135" s="9"/>
      <c r="M135" s="9"/>
    </row>
    <row r="136" spans="1:13" x14ac:dyDescent="0.2">
      <c r="A136" s="1">
        <v>44411</v>
      </c>
      <c r="B136">
        <v>145.80999800000001</v>
      </c>
      <c r="C136">
        <v>148.03999300000001</v>
      </c>
      <c r="D136">
        <v>145.179993</v>
      </c>
      <c r="E136">
        <v>147.36000100000001</v>
      </c>
      <c r="F136">
        <v>146.73817399999999</v>
      </c>
      <c r="G136">
        <v>64786600</v>
      </c>
      <c r="H136" s="8"/>
      <c r="K136" s="9"/>
      <c r="L136" s="9"/>
      <c r="M136" s="9"/>
    </row>
    <row r="137" spans="1:13" x14ac:dyDescent="0.2">
      <c r="A137" s="1">
        <v>44410</v>
      </c>
      <c r="B137">
        <v>146.36000100000001</v>
      </c>
      <c r="C137">
        <v>146.949997</v>
      </c>
      <c r="D137">
        <v>145.25</v>
      </c>
      <c r="E137">
        <v>145.520004</v>
      </c>
      <c r="F137">
        <v>144.90593000000001</v>
      </c>
      <c r="G137">
        <v>62880000</v>
      </c>
      <c r="H137" s="8"/>
      <c r="K137" s="9"/>
      <c r="L137" s="9"/>
      <c r="M137" s="9"/>
    </row>
    <row r="138" spans="1:13" x14ac:dyDescent="0.2">
      <c r="A138" s="1">
        <v>44407</v>
      </c>
      <c r="B138">
        <v>144.38000500000001</v>
      </c>
      <c r="C138">
        <v>146.33000200000001</v>
      </c>
      <c r="D138">
        <v>144.11000100000001</v>
      </c>
      <c r="E138">
        <v>145.86000100000001</v>
      </c>
      <c r="F138">
        <v>145.24449200000001</v>
      </c>
      <c r="G138">
        <v>70382000</v>
      </c>
      <c r="H138" s="8"/>
      <c r="K138" s="9"/>
      <c r="L138" s="9"/>
      <c r="M138" s="9"/>
    </row>
    <row r="139" spans="1:13" x14ac:dyDescent="0.2">
      <c r="A139" s="1">
        <v>44406</v>
      </c>
      <c r="B139">
        <v>144.69000199999999</v>
      </c>
      <c r="C139">
        <v>146.550003</v>
      </c>
      <c r="D139">
        <v>144.58000200000001</v>
      </c>
      <c r="E139">
        <v>145.63999899999999</v>
      </c>
      <c r="F139">
        <v>145.02542099999999</v>
      </c>
      <c r="G139">
        <v>56699500</v>
      </c>
      <c r="H139" s="8"/>
      <c r="K139" s="9"/>
      <c r="L139" s="9"/>
      <c r="M139" s="9"/>
    </row>
    <row r="140" spans="1:13" x14ac:dyDescent="0.2">
      <c r="A140" s="1">
        <v>44405</v>
      </c>
      <c r="B140">
        <v>144.80999800000001</v>
      </c>
      <c r="C140">
        <v>146.970001</v>
      </c>
      <c r="D140">
        <v>142.53999300000001</v>
      </c>
      <c r="E140">
        <v>144.979996</v>
      </c>
      <c r="F140">
        <v>144.36821</v>
      </c>
      <c r="G140">
        <v>118931200</v>
      </c>
      <c r="H140" s="8"/>
      <c r="K140" s="9"/>
      <c r="L140" s="9"/>
      <c r="M140" s="9"/>
    </row>
    <row r="141" spans="1:13" x14ac:dyDescent="0.2">
      <c r="A141" s="1">
        <v>44404</v>
      </c>
      <c r="B141">
        <v>149.11999499999999</v>
      </c>
      <c r="C141">
        <v>149.21000699999999</v>
      </c>
      <c r="D141">
        <v>145.550003</v>
      </c>
      <c r="E141">
        <v>146.770004</v>
      </c>
      <c r="F141">
        <v>146.15065000000001</v>
      </c>
      <c r="G141">
        <v>104818600</v>
      </c>
      <c r="H141" s="8"/>
      <c r="K141" s="9"/>
      <c r="L141" s="9"/>
      <c r="M141" s="9"/>
    </row>
    <row r="142" spans="1:13" x14ac:dyDescent="0.2">
      <c r="A142" s="1">
        <v>44403</v>
      </c>
      <c r="B142">
        <v>148.270004</v>
      </c>
      <c r="C142">
        <v>149.83000200000001</v>
      </c>
      <c r="D142">
        <v>147.699997</v>
      </c>
      <c r="E142">
        <v>148.990005</v>
      </c>
      <c r="F142">
        <v>148.36128199999999</v>
      </c>
      <c r="G142">
        <v>72434100</v>
      </c>
      <c r="H142" s="8"/>
      <c r="K142" s="9"/>
      <c r="L142" s="9"/>
      <c r="M142" s="9"/>
    </row>
    <row r="143" spans="1:13" x14ac:dyDescent="0.2">
      <c r="A143" s="1">
        <v>44400</v>
      </c>
      <c r="B143">
        <v>147.550003</v>
      </c>
      <c r="C143">
        <v>148.720001</v>
      </c>
      <c r="D143">
        <v>146.91999799999999</v>
      </c>
      <c r="E143">
        <v>148.55999800000001</v>
      </c>
      <c r="F143">
        <v>147.933075</v>
      </c>
      <c r="G143">
        <v>71447400</v>
      </c>
      <c r="H143" s="8"/>
      <c r="K143" s="9"/>
      <c r="L143" s="9"/>
      <c r="M143" s="9"/>
    </row>
    <row r="144" spans="1:13" x14ac:dyDescent="0.2">
      <c r="A144" s="1">
        <v>44399</v>
      </c>
      <c r="B144">
        <v>145.94000199999999</v>
      </c>
      <c r="C144">
        <v>148.199997</v>
      </c>
      <c r="D144">
        <v>145.80999800000001</v>
      </c>
      <c r="E144">
        <v>146.800003</v>
      </c>
      <c r="F144">
        <v>146.18052700000001</v>
      </c>
      <c r="G144">
        <v>77338200</v>
      </c>
      <c r="H144" s="8"/>
      <c r="K144" s="9"/>
      <c r="L144" s="9"/>
      <c r="M144" s="9"/>
    </row>
    <row r="145" spans="1:13" x14ac:dyDescent="0.2">
      <c r="A145" s="1">
        <v>44398</v>
      </c>
      <c r="B145">
        <v>145.529999</v>
      </c>
      <c r="C145">
        <v>146.13000500000001</v>
      </c>
      <c r="D145">
        <v>144.63000500000001</v>
      </c>
      <c r="E145">
        <v>145.39999399999999</v>
      </c>
      <c r="F145">
        <v>144.78642300000001</v>
      </c>
      <c r="G145">
        <v>74993500</v>
      </c>
      <c r="H145" s="8"/>
      <c r="K145" s="9"/>
      <c r="L145" s="9"/>
      <c r="M145" s="9"/>
    </row>
    <row r="146" spans="1:13" x14ac:dyDescent="0.2">
      <c r="A146" s="1">
        <v>44397</v>
      </c>
      <c r="B146">
        <v>143.46000699999999</v>
      </c>
      <c r="C146">
        <v>147.10000600000001</v>
      </c>
      <c r="D146">
        <v>142.96000699999999</v>
      </c>
      <c r="E146">
        <v>146.14999399999999</v>
      </c>
      <c r="F146">
        <v>145.53324900000001</v>
      </c>
      <c r="G146">
        <v>96350000</v>
      </c>
      <c r="H146" s="8"/>
      <c r="K146" s="9"/>
      <c r="L146" s="9"/>
      <c r="M146" s="9"/>
    </row>
    <row r="147" spans="1:13" x14ac:dyDescent="0.2">
      <c r="A147" s="1">
        <v>44396</v>
      </c>
      <c r="B147">
        <v>143.75</v>
      </c>
      <c r="C147">
        <v>144.070007</v>
      </c>
      <c r="D147">
        <v>141.66999799999999</v>
      </c>
      <c r="E147">
        <v>142.449997</v>
      </c>
      <c r="F147">
        <v>141.84887699999999</v>
      </c>
      <c r="G147">
        <v>121434600</v>
      </c>
      <c r="H147" s="8"/>
      <c r="K147" s="9"/>
      <c r="L147" s="9"/>
      <c r="M147" s="9"/>
    </row>
    <row r="148" spans="1:13" x14ac:dyDescent="0.2">
      <c r="A148" s="1">
        <v>44393</v>
      </c>
      <c r="B148">
        <v>148.46000699999999</v>
      </c>
      <c r="C148">
        <v>149.759995</v>
      </c>
      <c r="D148">
        <v>145.88000500000001</v>
      </c>
      <c r="E148">
        <v>146.38999899999999</v>
      </c>
      <c r="F148">
        <v>145.77224699999999</v>
      </c>
      <c r="G148">
        <v>93251400</v>
      </c>
      <c r="H148" s="8"/>
      <c r="K148" s="9"/>
      <c r="L148" s="9"/>
      <c r="M148" s="9"/>
    </row>
    <row r="149" spans="1:13" x14ac:dyDescent="0.2">
      <c r="A149" s="1">
        <v>44392</v>
      </c>
      <c r="B149">
        <v>149.240005</v>
      </c>
      <c r="C149">
        <v>150</v>
      </c>
      <c r="D149">
        <v>147.08999600000001</v>
      </c>
      <c r="E149">
        <v>148.479996</v>
      </c>
      <c r="F149">
        <v>147.85342399999999</v>
      </c>
      <c r="G149">
        <v>106820300</v>
      </c>
      <c r="H149" s="8"/>
      <c r="K149" s="9"/>
      <c r="L149" s="9"/>
      <c r="M149" s="9"/>
    </row>
    <row r="150" spans="1:13" x14ac:dyDescent="0.2">
      <c r="A150" s="1">
        <v>44391</v>
      </c>
      <c r="B150">
        <v>148.10000600000001</v>
      </c>
      <c r="C150">
        <v>149.570007</v>
      </c>
      <c r="D150">
        <v>147.679993</v>
      </c>
      <c r="E150">
        <v>149.14999399999999</v>
      </c>
      <c r="F150">
        <v>148.520599</v>
      </c>
      <c r="G150">
        <v>127050800</v>
      </c>
      <c r="H150" s="8"/>
      <c r="K150" s="9"/>
      <c r="L150" s="9"/>
      <c r="M150" s="9"/>
    </row>
    <row r="151" spans="1:13" x14ac:dyDescent="0.2">
      <c r="A151" s="1">
        <v>44390</v>
      </c>
      <c r="B151">
        <v>144.029999</v>
      </c>
      <c r="C151">
        <v>147.46000699999999</v>
      </c>
      <c r="D151">
        <v>143.63000500000001</v>
      </c>
      <c r="E151">
        <v>145.63999899999999</v>
      </c>
      <c r="F151">
        <v>145.02542099999999</v>
      </c>
      <c r="G151">
        <v>100827100</v>
      </c>
      <c r="H151" s="8"/>
      <c r="K151" s="9"/>
      <c r="L151" s="9"/>
      <c r="M151" s="9"/>
    </row>
    <row r="152" spans="1:13" x14ac:dyDescent="0.2">
      <c r="A152" s="1">
        <v>44389</v>
      </c>
      <c r="B152">
        <v>146.21000699999999</v>
      </c>
      <c r="C152">
        <v>146.320007</v>
      </c>
      <c r="D152">
        <v>144</v>
      </c>
      <c r="E152">
        <v>144.5</v>
      </c>
      <c r="F152">
        <v>143.89022800000001</v>
      </c>
      <c r="G152">
        <v>76299700</v>
      </c>
      <c r="H152" s="8"/>
      <c r="K152" s="9"/>
      <c r="L152" s="9"/>
      <c r="M152" s="9"/>
    </row>
    <row r="153" spans="1:13" x14ac:dyDescent="0.2">
      <c r="A153" s="1">
        <v>44386</v>
      </c>
      <c r="B153">
        <v>142.75</v>
      </c>
      <c r="C153">
        <v>145.64999399999999</v>
      </c>
      <c r="D153">
        <v>142.64999399999999</v>
      </c>
      <c r="E153">
        <v>145.11000100000001</v>
      </c>
      <c r="F153">
        <v>144.49764999999999</v>
      </c>
      <c r="G153">
        <v>99890800</v>
      </c>
      <c r="H153" s="8"/>
      <c r="K153" s="9"/>
      <c r="L153" s="9"/>
      <c r="M153" s="9"/>
    </row>
    <row r="154" spans="1:13" x14ac:dyDescent="0.2">
      <c r="A154" s="1">
        <v>44385</v>
      </c>
      <c r="B154">
        <v>141.58000200000001</v>
      </c>
      <c r="C154">
        <v>144.05999800000001</v>
      </c>
      <c r="D154">
        <v>140.66999799999999</v>
      </c>
      <c r="E154">
        <v>143.240005</v>
      </c>
      <c r="F154">
        <v>142.635559</v>
      </c>
      <c r="G154">
        <v>105575500</v>
      </c>
      <c r="H154" s="8"/>
      <c r="K154" s="9"/>
      <c r="L154" s="9"/>
      <c r="M154" s="9"/>
    </row>
    <row r="155" spans="1:13" x14ac:dyDescent="0.2">
      <c r="A155" s="1">
        <v>44384</v>
      </c>
      <c r="B155">
        <v>143.53999300000001</v>
      </c>
      <c r="C155">
        <v>144.88999899999999</v>
      </c>
      <c r="D155">
        <v>142.66000399999999</v>
      </c>
      <c r="E155">
        <v>144.570007</v>
      </c>
      <c r="F155">
        <v>143.959946</v>
      </c>
      <c r="G155">
        <v>104911600</v>
      </c>
      <c r="H155" s="8"/>
      <c r="K155" s="9"/>
      <c r="L155" s="9"/>
      <c r="M155" s="9"/>
    </row>
    <row r="156" spans="1:13" x14ac:dyDescent="0.2">
      <c r="A156" s="1">
        <v>44383</v>
      </c>
      <c r="B156">
        <v>140.070007</v>
      </c>
      <c r="C156">
        <v>143.14999399999999</v>
      </c>
      <c r="D156">
        <v>140.070007</v>
      </c>
      <c r="E156">
        <v>142.020004</v>
      </c>
      <c r="F156">
        <v>141.42070000000001</v>
      </c>
      <c r="G156">
        <v>108181800</v>
      </c>
      <c r="H156" s="8"/>
      <c r="K156" s="9"/>
      <c r="L156" s="9"/>
      <c r="M156" s="9"/>
    </row>
    <row r="157" spans="1:13" x14ac:dyDescent="0.2">
      <c r="A157" s="1">
        <v>44379</v>
      </c>
      <c r="B157">
        <v>137.89999399999999</v>
      </c>
      <c r="C157">
        <v>140</v>
      </c>
      <c r="D157">
        <v>137.75</v>
      </c>
      <c r="E157">
        <v>139.96000699999999</v>
      </c>
      <c r="F157">
        <v>139.36940000000001</v>
      </c>
      <c r="G157">
        <v>78852600</v>
      </c>
      <c r="H157" s="8"/>
      <c r="K157" s="9"/>
      <c r="L157" s="9"/>
      <c r="M157" s="9"/>
    </row>
    <row r="158" spans="1:13" x14ac:dyDescent="0.2">
      <c r="A158" s="1">
        <v>44378</v>
      </c>
      <c r="B158">
        <v>136.60000600000001</v>
      </c>
      <c r="C158">
        <v>137.33000200000001</v>
      </c>
      <c r="D158">
        <v>135.759995</v>
      </c>
      <c r="E158">
        <v>137.270004</v>
      </c>
      <c r="F158">
        <v>136.69073499999999</v>
      </c>
      <c r="G158">
        <v>52485800</v>
      </c>
      <c r="H158" s="8"/>
      <c r="K158" s="9"/>
      <c r="L158" s="9"/>
      <c r="M158" s="9"/>
    </row>
    <row r="159" spans="1:13" x14ac:dyDescent="0.2">
      <c r="A159" s="1">
        <v>44377</v>
      </c>
      <c r="B159">
        <v>136.16999799999999</v>
      </c>
      <c r="C159">
        <v>137.41000399999999</v>
      </c>
      <c r="D159">
        <v>135.86999499999999</v>
      </c>
      <c r="E159">
        <v>136.96000699999999</v>
      </c>
      <c r="F159">
        <v>136.38206500000001</v>
      </c>
      <c r="G159">
        <v>63261400</v>
      </c>
      <c r="H159" s="8"/>
      <c r="K159" s="9"/>
      <c r="L159" s="9"/>
      <c r="M159" s="9"/>
    </row>
    <row r="160" spans="1:13" x14ac:dyDescent="0.2">
      <c r="A160" s="1">
        <v>44376</v>
      </c>
      <c r="B160">
        <v>134.800003</v>
      </c>
      <c r="C160">
        <v>136.490005</v>
      </c>
      <c r="D160">
        <v>134.35000600000001</v>
      </c>
      <c r="E160">
        <v>136.33000200000001</v>
      </c>
      <c r="F160">
        <v>135.75470000000001</v>
      </c>
      <c r="G160">
        <v>64556100</v>
      </c>
      <c r="H160" s="8"/>
      <c r="K160" s="9"/>
      <c r="L160" s="9"/>
      <c r="M160" s="9"/>
    </row>
    <row r="161" spans="1:13" x14ac:dyDescent="0.2">
      <c r="A161" s="1">
        <v>44375</v>
      </c>
      <c r="B161">
        <v>133.41000399999999</v>
      </c>
      <c r="C161">
        <v>135.25</v>
      </c>
      <c r="D161">
        <v>133.35000600000001</v>
      </c>
      <c r="E161">
        <v>134.779999</v>
      </c>
      <c r="F161">
        <v>134.21125799999999</v>
      </c>
      <c r="G161">
        <v>62111300</v>
      </c>
      <c r="H161" s="8"/>
      <c r="K161" s="9"/>
      <c r="L161" s="9"/>
      <c r="M161" s="9"/>
    </row>
    <row r="162" spans="1:13" x14ac:dyDescent="0.2">
      <c r="A162" s="1">
        <v>44372</v>
      </c>
      <c r="B162">
        <v>133.46000699999999</v>
      </c>
      <c r="C162">
        <v>133.88999899999999</v>
      </c>
      <c r="D162">
        <v>132.80999800000001</v>
      </c>
      <c r="E162">
        <v>133.11000100000001</v>
      </c>
      <c r="F162">
        <v>132.548294</v>
      </c>
      <c r="G162">
        <v>70783700</v>
      </c>
      <c r="H162" s="8"/>
      <c r="K162" s="9"/>
      <c r="L162" s="9"/>
      <c r="M162" s="9"/>
    </row>
    <row r="163" spans="1:13" x14ac:dyDescent="0.2">
      <c r="A163" s="1">
        <v>44371</v>
      </c>
      <c r="B163">
        <v>134.449997</v>
      </c>
      <c r="C163">
        <v>134.63999899999999</v>
      </c>
      <c r="D163">
        <v>132.929993</v>
      </c>
      <c r="E163">
        <v>133.41000399999999</v>
      </c>
      <c r="F163">
        <v>132.84704600000001</v>
      </c>
      <c r="G163">
        <v>68711000</v>
      </c>
      <c r="H163" s="8"/>
      <c r="K163" s="9"/>
      <c r="L163" s="9"/>
      <c r="M163" s="9"/>
    </row>
    <row r="164" spans="1:13" x14ac:dyDescent="0.2">
      <c r="A164" s="1">
        <v>44370</v>
      </c>
      <c r="B164">
        <v>133.770004</v>
      </c>
      <c r="C164">
        <v>134.320007</v>
      </c>
      <c r="D164">
        <v>133.229996</v>
      </c>
      <c r="E164">
        <v>133.699997</v>
      </c>
      <c r="F164">
        <v>133.13580300000001</v>
      </c>
      <c r="G164">
        <v>60214200</v>
      </c>
      <c r="H164" s="8"/>
      <c r="K164" s="9"/>
      <c r="L164" s="9"/>
      <c r="M164" s="9"/>
    </row>
    <row r="165" spans="1:13" x14ac:dyDescent="0.2">
      <c r="A165" s="1">
        <v>44369</v>
      </c>
      <c r="B165">
        <v>132.13000500000001</v>
      </c>
      <c r="C165">
        <v>134.08000200000001</v>
      </c>
      <c r="D165">
        <v>131.61999499999999</v>
      </c>
      <c r="E165">
        <v>133.979996</v>
      </c>
      <c r="F165">
        <v>133.41461200000001</v>
      </c>
      <c r="G165">
        <v>74783600</v>
      </c>
      <c r="H165" s="8"/>
      <c r="K165" s="9"/>
      <c r="L165" s="9"/>
      <c r="M165" s="9"/>
    </row>
    <row r="166" spans="1:13" x14ac:dyDescent="0.2">
      <c r="A166" s="1">
        <v>44368</v>
      </c>
      <c r="B166">
        <v>130.300003</v>
      </c>
      <c r="C166">
        <v>132.41000399999999</v>
      </c>
      <c r="D166">
        <v>129.21000699999999</v>
      </c>
      <c r="E166">
        <v>132.300003</v>
      </c>
      <c r="F166">
        <v>131.74169900000001</v>
      </c>
      <c r="G166">
        <v>79663300</v>
      </c>
      <c r="H166" s="8"/>
      <c r="K166" s="9"/>
      <c r="L166" s="9"/>
      <c r="M166" s="9"/>
    </row>
    <row r="167" spans="1:13" x14ac:dyDescent="0.2">
      <c r="A167" s="1">
        <v>44365</v>
      </c>
      <c r="B167">
        <v>130.71000699999999</v>
      </c>
      <c r="C167">
        <v>131.509995</v>
      </c>
      <c r="D167">
        <v>130.240005</v>
      </c>
      <c r="E167">
        <v>130.46000699999999</v>
      </c>
      <c r="F167">
        <v>129.90948499999999</v>
      </c>
      <c r="G167">
        <v>108953300</v>
      </c>
      <c r="H167" s="8"/>
      <c r="K167" s="9"/>
      <c r="L167" s="9"/>
      <c r="M167" s="9"/>
    </row>
    <row r="168" spans="1:13" x14ac:dyDescent="0.2">
      <c r="A168" s="1">
        <v>44364</v>
      </c>
      <c r="B168">
        <v>129.800003</v>
      </c>
      <c r="C168">
        <v>132.550003</v>
      </c>
      <c r="D168">
        <v>129.64999399999999</v>
      </c>
      <c r="E168">
        <v>131.78999300000001</v>
      </c>
      <c r="F168">
        <v>131.233856</v>
      </c>
      <c r="G168">
        <v>96721700</v>
      </c>
      <c r="H168" s="8"/>
      <c r="K168" s="9"/>
      <c r="L168" s="9"/>
      <c r="M168" s="9"/>
    </row>
    <row r="169" spans="1:13" x14ac:dyDescent="0.2">
      <c r="A169" s="1">
        <v>44363</v>
      </c>
      <c r="B169">
        <v>130.36999499999999</v>
      </c>
      <c r="C169">
        <v>130.88999899999999</v>
      </c>
      <c r="D169">
        <v>128.46000699999999</v>
      </c>
      <c r="E169">
        <v>130.14999399999999</v>
      </c>
      <c r="F169">
        <v>129.600784</v>
      </c>
      <c r="G169">
        <v>91815000</v>
      </c>
      <c r="H169" s="8"/>
      <c r="K169" s="9"/>
      <c r="L169" s="9"/>
      <c r="M169" s="9"/>
    </row>
    <row r="170" spans="1:13" x14ac:dyDescent="0.2">
      <c r="A170" s="1">
        <v>44362</v>
      </c>
      <c r="B170">
        <v>129.94000199999999</v>
      </c>
      <c r="C170">
        <v>130.60000600000001</v>
      </c>
      <c r="D170">
        <v>129.38999899999999</v>
      </c>
      <c r="E170">
        <v>129.63999899999999</v>
      </c>
      <c r="F170">
        <v>129.09292600000001</v>
      </c>
      <c r="G170">
        <v>62746300</v>
      </c>
      <c r="H170" s="8"/>
      <c r="K170" s="9"/>
      <c r="L170" s="9"/>
      <c r="M170" s="9"/>
    </row>
    <row r="171" spans="1:13" x14ac:dyDescent="0.2">
      <c r="A171" s="1">
        <v>44361</v>
      </c>
      <c r="B171">
        <v>127.82</v>
      </c>
      <c r="C171">
        <v>130.53999300000001</v>
      </c>
      <c r="D171">
        <v>127.07</v>
      </c>
      <c r="E171">
        <v>130.479996</v>
      </c>
      <c r="F171">
        <v>129.929382</v>
      </c>
      <c r="G171">
        <v>96906500</v>
      </c>
      <c r="H171" s="8"/>
      <c r="K171" s="9"/>
      <c r="L171" s="9"/>
      <c r="M171" s="9"/>
    </row>
    <row r="172" spans="1:13" x14ac:dyDescent="0.2">
      <c r="A172" s="1">
        <v>44358</v>
      </c>
      <c r="B172">
        <v>126.529999</v>
      </c>
      <c r="C172">
        <v>127.44000200000001</v>
      </c>
      <c r="D172">
        <v>126.099998</v>
      </c>
      <c r="E172">
        <v>127.349998</v>
      </c>
      <c r="F172">
        <v>126.81259900000001</v>
      </c>
      <c r="G172">
        <v>53522400</v>
      </c>
      <c r="H172" s="8"/>
      <c r="K172" s="9"/>
      <c r="L172" s="9"/>
      <c r="M172" s="9"/>
    </row>
    <row r="173" spans="1:13" x14ac:dyDescent="0.2">
      <c r="A173" s="1">
        <v>44357</v>
      </c>
      <c r="B173">
        <v>127.019997</v>
      </c>
      <c r="C173">
        <v>128.19000199999999</v>
      </c>
      <c r="D173">
        <v>125.94000200000001</v>
      </c>
      <c r="E173">
        <v>126.110001</v>
      </c>
      <c r="F173">
        <v>125.57783499999999</v>
      </c>
      <c r="G173">
        <v>71186400</v>
      </c>
      <c r="H173" s="8"/>
      <c r="K173" s="9"/>
      <c r="L173" s="9"/>
      <c r="M173" s="9"/>
    </row>
    <row r="174" spans="1:13" x14ac:dyDescent="0.2">
      <c r="A174" s="1">
        <v>44356</v>
      </c>
      <c r="B174">
        <v>127.209999</v>
      </c>
      <c r="C174">
        <v>127.75</v>
      </c>
      <c r="D174">
        <v>126.519997</v>
      </c>
      <c r="E174">
        <v>127.129997</v>
      </c>
      <c r="F174">
        <v>126.593529</v>
      </c>
      <c r="G174">
        <v>56877900</v>
      </c>
      <c r="H174" s="8"/>
      <c r="K174" s="9"/>
      <c r="L174" s="9"/>
      <c r="M174" s="9"/>
    </row>
    <row r="175" spans="1:13" x14ac:dyDescent="0.2">
      <c r="A175" s="1">
        <v>44355</v>
      </c>
      <c r="B175">
        <v>126.599998</v>
      </c>
      <c r="C175">
        <v>128.46000699999999</v>
      </c>
      <c r="D175">
        <v>126.209999</v>
      </c>
      <c r="E175">
        <v>126.739998</v>
      </c>
      <c r="F175">
        <v>126.20517</v>
      </c>
      <c r="G175">
        <v>74403800</v>
      </c>
      <c r="H175" s="8"/>
      <c r="K175" s="9"/>
      <c r="L175" s="9"/>
      <c r="M175" s="9"/>
    </row>
    <row r="176" spans="1:13" x14ac:dyDescent="0.2">
      <c r="A176" s="1">
        <v>44354</v>
      </c>
      <c r="B176">
        <v>126.16999800000001</v>
      </c>
      <c r="C176">
        <v>126.32</v>
      </c>
      <c r="D176">
        <v>124.83000199999999</v>
      </c>
      <c r="E176">
        <v>125.900002</v>
      </c>
      <c r="F176">
        <v>125.36872099999999</v>
      </c>
      <c r="G176">
        <v>71057600</v>
      </c>
      <c r="H176" s="8"/>
      <c r="K176" s="9"/>
      <c r="L176" s="9"/>
      <c r="M176" s="9"/>
    </row>
    <row r="177" spans="1:13" x14ac:dyDescent="0.2">
      <c r="A177" s="1">
        <v>44351</v>
      </c>
      <c r="B177">
        <v>124.07</v>
      </c>
      <c r="C177">
        <v>126.160004</v>
      </c>
      <c r="D177">
        <v>123.849998</v>
      </c>
      <c r="E177">
        <v>125.889999</v>
      </c>
      <c r="F177">
        <v>125.35876500000001</v>
      </c>
      <c r="G177">
        <v>75169300</v>
      </c>
      <c r="H177" s="8"/>
      <c r="K177" s="9"/>
      <c r="L177" s="9"/>
      <c r="M177" s="9"/>
    </row>
    <row r="178" spans="1:13" x14ac:dyDescent="0.2">
      <c r="A178" s="1">
        <v>44350</v>
      </c>
      <c r="B178">
        <v>124.68</v>
      </c>
      <c r="C178">
        <v>124.849998</v>
      </c>
      <c r="D178">
        <v>123.129997</v>
      </c>
      <c r="E178">
        <v>123.540001</v>
      </c>
      <c r="F178">
        <v>123.01868399999999</v>
      </c>
      <c r="G178">
        <v>76229200</v>
      </c>
      <c r="H178" s="8"/>
      <c r="K178" s="9"/>
      <c r="L178" s="9"/>
      <c r="M178" s="9"/>
    </row>
    <row r="179" spans="1:13" x14ac:dyDescent="0.2">
      <c r="A179" s="1">
        <v>44349</v>
      </c>
      <c r="B179">
        <v>124.279999</v>
      </c>
      <c r="C179">
        <v>125.239998</v>
      </c>
      <c r="D179">
        <v>124.050003</v>
      </c>
      <c r="E179">
        <v>125.05999799999999</v>
      </c>
      <c r="F179">
        <v>124.532257</v>
      </c>
      <c r="G179">
        <v>59278900</v>
      </c>
      <c r="H179" s="8"/>
      <c r="K179" s="9"/>
      <c r="L179" s="9"/>
      <c r="M179" s="9"/>
    </row>
    <row r="180" spans="1:13" x14ac:dyDescent="0.2">
      <c r="A180" s="1">
        <v>44348</v>
      </c>
      <c r="B180">
        <v>125.08000199999999</v>
      </c>
      <c r="C180">
        <v>125.349998</v>
      </c>
      <c r="D180">
        <v>123.94000200000001</v>
      </c>
      <c r="E180">
        <v>124.279999</v>
      </c>
      <c r="F180">
        <v>123.755554</v>
      </c>
      <c r="G180">
        <v>67637100</v>
      </c>
      <c r="H180" s="8"/>
      <c r="K180" s="9"/>
      <c r="L180" s="9"/>
      <c r="M180" s="9"/>
    </row>
    <row r="181" spans="1:13" x14ac:dyDescent="0.2">
      <c r="A181" s="1">
        <v>44344</v>
      </c>
      <c r="B181">
        <v>125.57</v>
      </c>
      <c r="C181">
        <v>125.800003</v>
      </c>
      <c r="D181">
        <v>124.550003</v>
      </c>
      <c r="E181">
        <v>124.610001</v>
      </c>
      <c r="F181">
        <v>124.08416</v>
      </c>
      <c r="G181">
        <v>71311100</v>
      </c>
      <c r="H181" s="8"/>
      <c r="K181" s="9"/>
      <c r="L181" s="9"/>
      <c r="M181" s="9"/>
    </row>
    <row r="182" spans="1:13" x14ac:dyDescent="0.2">
      <c r="A182" s="1">
        <v>44343</v>
      </c>
      <c r="B182">
        <v>126.44000200000001</v>
      </c>
      <c r="C182">
        <v>127.639999</v>
      </c>
      <c r="D182">
        <v>125.08000199999999</v>
      </c>
      <c r="E182">
        <v>125.279999</v>
      </c>
      <c r="F182">
        <v>124.751335</v>
      </c>
      <c r="G182">
        <v>94625600</v>
      </c>
      <c r="H182" s="8"/>
      <c r="K182" s="9"/>
      <c r="L182" s="9"/>
      <c r="M182" s="9"/>
    </row>
    <row r="183" spans="1:13" x14ac:dyDescent="0.2">
      <c r="A183" s="1">
        <v>44342</v>
      </c>
      <c r="B183">
        <v>126.959999</v>
      </c>
      <c r="C183">
        <v>127.389999</v>
      </c>
      <c r="D183">
        <v>126.41999800000001</v>
      </c>
      <c r="E183">
        <v>126.849998</v>
      </c>
      <c r="F183">
        <v>126.314705</v>
      </c>
      <c r="G183">
        <v>56575900</v>
      </c>
      <c r="H183" s="8"/>
      <c r="K183" s="9"/>
      <c r="L183" s="9"/>
      <c r="M183" s="9"/>
    </row>
    <row r="184" spans="1:13" x14ac:dyDescent="0.2">
      <c r="A184" s="1">
        <v>44341</v>
      </c>
      <c r="B184">
        <v>127.82</v>
      </c>
      <c r="C184">
        <v>128.320007</v>
      </c>
      <c r="D184">
        <v>126.32</v>
      </c>
      <c r="E184">
        <v>126.900002</v>
      </c>
      <c r="F184">
        <v>126.364502</v>
      </c>
      <c r="G184">
        <v>72009500</v>
      </c>
      <c r="H184" s="8"/>
      <c r="K184" s="9"/>
      <c r="L184" s="9"/>
      <c r="M184" s="9"/>
    </row>
    <row r="185" spans="1:13" x14ac:dyDescent="0.2">
      <c r="A185" s="1">
        <v>44340</v>
      </c>
      <c r="B185">
        <v>126.010002</v>
      </c>
      <c r="C185">
        <v>127.94000200000001</v>
      </c>
      <c r="D185">
        <v>125.94000200000001</v>
      </c>
      <c r="E185">
        <v>127.099998</v>
      </c>
      <c r="F185">
        <v>126.563652</v>
      </c>
      <c r="G185">
        <v>63092900</v>
      </c>
      <c r="H185" s="8"/>
      <c r="K185" s="9"/>
      <c r="L185" s="9"/>
      <c r="M185" s="9"/>
    </row>
    <row r="186" spans="1:13" x14ac:dyDescent="0.2">
      <c r="A186" s="1">
        <v>44337</v>
      </c>
      <c r="B186">
        <v>127.82</v>
      </c>
      <c r="C186">
        <v>128</v>
      </c>
      <c r="D186">
        <v>125.209999</v>
      </c>
      <c r="E186">
        <v>125.43</v>
      </c>
      <c r="F186">
        <v>124.90070299999999</v>
      </c>
      <c r="G186">
        <v>79295400</v>
      </c>
      <c r="H186" s="8"/>
      <c r="K186" s="9"/>
      <c r="L186" s="9"/>
      <c r="M186" s="9"/>
    </row>
    <row r="187" spans="1:13" x14ac:dyDescent="0.2">
      <c r="A187" s="1">
        <v>44336</v>
      </c>
      <c r="B187">
        <v>125.230003</v>
      </c>
      <c r="C187">
        <v>127.720001</v>
      </c>
      <c r="D187">
        <v>125.099998</v>
      </c>
      <c r="E187">
        <v>127.30999799999999</v>
      </c>
      <c r="F187">
        <v>126.772766</v>
      </c>
      <c r="G187">
        <v>76857100</v>
      </c>
      <c r="H187" s="8"/>
      <c r="K187" s="9"/>
      <c r="L187" s="9"/>
      <c r="M187" s="9"/>
    </row>
    <row r="188" spans="1:13" x14ac:dyDescent="0.2">
      <c r="A188" s="1">
        <v>44335</v>
      </c>
      <c r="B188">
        <v>123.160004</v>
      </c>
      <c r="C188">
        <v>124.91999800000001</v>
      </c>
      <c r="D188">
        <v>122.860001</v>
      </c>
      <c r="E188">
        <v>124.69000200000001</v>
      </c>
      <c r="F188">
        <v>124.16383399999999</v>
      </c>
      <c r="G188">
        <v>92612000</v>
      </c>
      <c r="H188" s="8"/>
      <c r="K188" s="9"/>
      <c r="L188" s="9"/>
      <c r="M188" s="9"/>
    </row>
    <row r="189" spans="1:13" x14ac:dyDescent="0.2">
      <c r="A189" s="1">
        <v>44334</v>
      </c>
      <c r="B189">
        <v>126.55999799999999</v>
      </c>
      <c r="C189">
        <v>126.989998</v>
      </c>
      <c r="D189">
        <v>124.779999</v>
      </c>
      <c r="E189">
        <v>124.849998</v>
      </c>
      <c r="F189">
        <v>124.323143</v>
      </c>
      <c r="G189">
        <v>63342900</v>
      </c>
      <c r="H189" s="8"/>
      <c r="K189" s="9"/>
      <c r="L189" s="9"/>
      <c r="M189" s="9"/>
    </row>
    <row r="190" spans="1:13" x14ac:dyDescent="0.2">
      <c r="A190" s="1">
        <v>44333</v>
      </c>
      <c r="B190">
        <v>126.82</v>
      </c>
      <c r="C190">
        <v>126.93</v>
      </c>
      <c r="D190">
        <v>125.16999800000001</v>
      </c>
      <c r="E190">
        <v>126.269997</v>
      </c>
      <c r="F190">
        <v>125.73716</v>
      </c>
      <c r="G190">
        <v>74244600</v>
      </c>
      <c r="H190" s="8"/>
      <c r="K190" s="9"/>
      <c r="L190" s="9"/>
      <c r="M190" s="9"/>
    </row>
    <row r="191" spans="1:13" x14ac:dyDescent="0.2">
      <c r="A191" s="1">
        <v>44330</v>
      </c>
      <c r="B191">
        <v>126.25</v>
      </c>
      <c r="C191">
        <v>127.889999</v>
      </c>
      <c r="D191">
        <v>125.849998</v>
      </c>
      <c r="E191">
        <v>127.449997</v>
      </c>
      <c r="F191">
        <v>126.912178</v>
      </c>
      <c r="G191">
        <v>81918000</v>
      </c>
      <c r="H191" s="8"/>
      <c r="K191" s="9"/>
      <c r="L191" s="9"/>
      <c r="M191" s="9"/>
    </row>
    <row r="192" spans="1:13" x14ac:dyDescent="0.2">
      <c r="A192" s="1">
        <v>44329</v>
      </c>
      <c r="B192">
        <v>124.58000199999999</v>
      </c>
      <c r="C192">
        <v>126.150002</v>
      </c>
      <c r="D192">
        <v>124.260002</v>
      </c>
      <c r="E192">
        <v>124.970001</v>
      </c>
      <c r="F192">
        <v>124.44264200000001</v>
      </c>
      <c r="G192">
        <v>105861300</v>
      </c>
      <c r="H192" s="8"/>
      <c r="K192" s="9"/>
      <c r="L192" s="9"/>
      <c r="M192" s="9"/>
    </row>
    <row r="193" spans="1:13" x14ac:dyDescent="0.2">
      <c r="A193" s="1">
        <v>44328</v>
      </c>
      <c r="B193">
        <v>123.400002</v>
      </c>
      <c r="C193">
        <v>124.639999</v>
      </c>
      <c r="D193">
        <v>122.25</v>
      </c>
      <c r="E193">
        <v>122.769997</v>
      </c>
      <c r="F193">
        <v>122.25192300000001</v>
      </c>
      <c r="G193">
        <v>112172300</v>
      </c>
      <c r="H193" s="8"/>
      <c r="K193" s="9"/>
      <c r="L193" s="9"/>
      <c r="M193" s="9"/>
    </row>
    <row r="194" spans="1:13" x14ac:dyDescent="0.2">
      <c r="A194" s="1">
        <v>44327</v>
      </c>
      <c r="B194">
        <v>123.5</v>
      </c>
      <c r="C194">
        <v>126.269997</v>
      </c>
      <c r="D194">
        <v>122.769997</v>
      </c>
      <c r="E194">
        <v>125.910004</v>
      </c>
      <c r="F194">
        <v>125.378685</v>
      </c>
      <c r="G194">
        <v>126142800</v>
      </c>
      <c r="H194" s="8"/>
      <c r="K194" s="9"/>
      <c r="L194" s="9"/>
      <c r="M194" s="9"/>
    </row>
    <row r="195" spans="1:13" x14ac:dyDescent="0.2">
      <c r="A195" s="1">
        <v>44326</v>
      </c>
      <c r="B195">
        <v>129.41000399999999</v>
      </c>
      <c r="C195">
        <v>129.53999300000001</v>
      </c>
      <c r="D195">
        <v>126.80999799999999</v>
      </c>
      <c r="E195">
        <v>126.849998</v>
      </c>
      <c r="F195">
        <v>126.314705</v>
      </c>
      <c r="G195">
        <v>88071200</v>
      </c>
      <c r="H195" s="8"/>
      <c r="K195" s="9"/>
      <c r="L195" s="9"/>
      <c r="M195" s="9"/>
    </row>
    <row r="196" spans="1:13" x14ac:dyDescent="0.2">
      <c r="A196" s="1">
        <v>44323</v>
      </c>
      <c r="B196">
        <v>130.85000600000001</v>
      </c>
      <c r="C196">
        <v>131.259995</v>
      </c>
      <c r="D196">
        <v>129.479996</v>
      </c>
      <c r="E196">
        <v>130.21000699999999</v>
      </c>
      <c r="F196">
        <v>129.66055299999999</v>
      </c>
      <c r="G196">
        <v>78973300</v>
      </c>
      <c r="H196" s="8"/>
      <c r="K196" s="9"/>
      <c r="L196" s="9"/>
      <c r="M196" s="9"/>
    </row>
    <row r="197" spans="1:13" x14ac:dyDescent="0.2">
      <c r="A197" s="1">
        <v>44322</v>
      </c>
      <c r="B197">
        <v>127.889999</v>
      </c>
      <c r="C197">
        <v>129.75</v>
      </c>
      <c r="D197">
        <v>127.129997</v>
      </c>
      <c r="E197">
        <v>129.740005</v>
      </c>
      <c r="F197">
        <v>128.97345000000001</v>
      </c>
      <c r="G197">
        <v>78128300</v>
      </c>
      <c r="H197" s="8"/>
      <c r="K197" s="9"/>
      <c r="L197" s="9"/>
      <c r="M197" s="9"/>
    </row>
    <row r="198" spans="1:13" x14ac:dyDescent="0.2">
      <c r="A198" s="1">
        <v>44321</v>
      </c>
      <c r="B198">
        <v>129.199997</v>
      </c>
      <c r="C198">
        <v>130.449997</v>
      </c>
      <c r="D198">
        <v>127.970001</v>
      </c>
      <c r="E198">
        <v>128.10000600000001</v>
      </c>
      <c r="F198">
        <v>127.343132</v>
      </c>
      <c r="G198">
        <v>84000900</v>
      </c>
      <c r="H198" s="8"/>
      <c r="K198" s="9"/>
      <c r="L198" s="9"/>
      <c r="M198" s="9"/>
    </row>
    <row r="199" spans="1:13" x14ac:dyDescent="0.2">
      <c r="A199" s="1">
        <v>44320</v>
      </c>
      <c r="B199">
        <v>131.19000199999999</v>
      </c>
      <c r="C199">
        <v>131.490005</v>
      </c>
      <c r="D199">
        <v>126.699997</v>
      </c>
      <c r="E199">
        <v>127.849998</v>
      </c>
      <c r="F199">
        <v>127.094604</v>
      </c>
      <c r="G199">
        <v>137564700</v>
      </c>
      <c r="H199" s="8"/>
      <c r="K199" s="9"/>
      <c r="L199" s="9"/>
      <c r="M199" s="9"/>
    </row>
    <row r="200" spans="1:13" x14ac:dyDescent="0.2">
      <c r="A200" s="1">
        <v>44319</v>
      </c>
      <c r="B200">
        <v>132.03999300000001</v>
      </c>
      <c r="C200">
        <v>134.070007</v>
      </c>
      <c r="D200">
        <v>131.83000200000001</v>
      </c>
      <c r="E200">
        <v>132.53999300000001</v>
      </c>
      <c r="F200">
        <v>131.75689700000001</v>
      </c>
      <c r="G200">
        <v>75135100</v>
      </c>
      <c r="H200" s="8"/>
      <c r="K200" s="9"/>
      <c r="L200" s="9"/>
      <c r="M200" s="9"/>
    </row>
    <row r="201" spans="1:13" x14ac:dyDescent="0.2">
      <c r="A201" s="1">
        <v>44316</v>
      </c>
      <c r="B201">
        <v>131.779999</v>
      </c>
      <c r="C201">
        <v>133.55999800000001</v>
      </c>
      <c r="D201">
        <v>131.070007</v>
      </c>
      <c r="E201">
        <v>131.46000699999999</v>
      </c>
      <c r="F201">
        <v>130.683289</v>
      </c>
      <c r="G201">
        <v>109839500</v>
      </c>
      <c r="H201" s="8"/>
      <c r="K201" s="9"/>
      <c r="L201" s="9"/>
      <c r="M201" s="9"/>
    </row>
    <row r="202" spans="1:13" x14ac:dyDescent="0.2">
      <c r="A202" s="1">
        <v>44315</v>
      </c>
      <c r="B202">
        <v>136.470001</v>
      </c>
      <c r="C202">
        <v>137.070007</v>
      </c>
      <c r="D202">
        <v>132.449997</v>
      </c>
      <c r="E202">
        <v>133.479996</v>
      </c>
      <c r="F202">
        <v>132.69132999999999</v>
      </c>
      <c r="G202">
        <v>151101000</v>
      </c>
      <c r="H202" s="8"/>
      <c r="K202" s="9"/>
      <c r="L202" s="9"/>
      <c r="M202" s="9"/>
    </row>
    <row r="203" spans="1:13" x14ac:dyDescent="0.2">
      <c r="A203" s="1">
        <v>44314</v>
      </c>
      <c r="B203">
        <v>134.30999800000001</v>
      </c>
      <c r="C203">
        <v>135.020004</v>
      </c>
      <c r="D203">
        <v>133.08000200000001</v>
      </c>
      <c r="E203">
        <v>133.58000200000001</v>
      </c>
      <c r="F203">
        <v>132.79075599999999</v>
      </c>
      <c r="G203">
        <v>107760100</v>
      </c>
      <c r="H203" s="8"/>
      <c r="K203" s="9"/>
      <c r="L203" s="9"/>
      <c r="M203" s="9"/>
    </row>
    <row r="204" spans="1:13" x14ac:dyDescent="0.2">
      <c r="A204" s="1">
        <v>44313</v>
      </c>
      <c r="B204">
        <v>135.009995</v>
      </c>
      <c r="C204">
        <v>135.41000399999999</v>
      </c>
      <c r="D204">
        <v>134.11000100000001</v>
      </c>
      <c r="E204">
        <v>134.38999899999999</v>
      </c>
      <c r="F204">
        <v>133.59596300000001</v>
      </c>
      <c r="G204">
        <v>66015800</v>
      </c>
      <c r="H204" s="8"/>
      <c r="K204" s="9"/>
      <c r="L204" s="9"/>
      <c r="M204" s="9"/>
    </row>
    <row r="205" spans="1:13" x14ac:dyDescent="0.2">
      <c r="A205" s="1">
        <v>44312</v>
      </c>
      <c r="B205">
        <v>134.83000200000001</v>
      </c>
      <c r="C205">
        <v>135.05999800000001</v>
      </c>
      <c r="D205">
        <v>133.55999800000001</v>
      </c>
      <c r="E205">
        <v>134.720001</v>
      </c>
      <c r="F205">
        <v>133.924026</v>
      </c>
      <c r="G205">
        <v>66905100</v>
      </c>
      <c r="H205" s="8"/>
      <c r="K205" s="9"/>
      <c r="L205" s="9"/>
      <c r="M205" s="9"/>
    </row>
    <row r="206" spans="1:13" x14ac:dyDescent="0.2">
      <c r="A206" s="1">
        <v>44309</v>
      </c>
      <c r="B206">
        <v>132.16000399999999</v>
      </c>
      <c r="C206">
        <v>135.11999499999999</v>
      </c>
      <c r="D206">
        <v>132.16000399999999</v>
      </c>
      <c r="E206">
        <v>134.320007</v>
      </c>
      <c r="F206">
        <v>133.52638200000001</v>
      </c>
      <c r="G206">
        <v>78657500</v>
      </c>
      <c r="H206" s="8"/>
      <c r="K206" s="9"/>
      <c r="L206" s="9"/>
      <c r="M206" s="9"/>
    </row>
    <row r="207" spans="1:13" x14ac:dyDescent="0.2">
      <c r="A207" s="1">
        <v>44308</v>
      </c>
      <c r="B207">
        <v>133.03999300000001</v>
      </c>
      <c r="C207">
        <v>134.14999399999999</v>
      </c>
      <c r="D207">
        <v>131.41000399999999</v>
      </c>
      <c r="E207">
        <v>131.94000199999999</v>
      </c>
      <c r="F207">
        <v>131.16043099999999</v>
      </c>
      <c r="G207">
        <v>84566500</v>
      </c>
      <c r="H207" s="8"/>
      <c r="K207" s="9"/>
      <c r="L207" s="9"/>
      <c r="M207" s="9"/>
    </row>
    <row r="208" spans="1:13" x14ac:dyDescent="0.2">
      <c r="A208" s="1">
        <v>44307</v>
      </c>
      <c r="B208">
        <v>132.36000100000001</v>
      </c>
      <c r="C208">
        <v>133.75</v>
      </c>
      <c r="D208">
        <v>131.300003</v>
      </c>
      <c r="E208">
        <v>133.5</v>
      </c>
      <c r="F208">
        <v>132.71122700000001</v>
      </c>
      <c r="G208">
        <v>68847100</v>
      </c>
      <c r="H208" s="8"/>
      <c r="K208" s="9"/>
      <c r="L208" s="9"/>
      <c r="M208" s="9"/>
    </row>
    <row r="209" spans="1:13" x14ac:dyDescent="0.2">
      <c r="A209" s="1">
        <v>44306</v>
      </c>
      <c r="B209">
        <v>135.020004</v>
      </c>
      <c r="C209">
        <v>135.529999</v>
      </c>
      <c r="D209">
        <v>131.80999800000001</v>
      </c>
      <c r="E209">
        <v>133.11000100000001</v>
      </c>
      <c r="F209">
        <v>132.323532</v>
      </c>
      <c r="G209">
        <v>94812300</v>
      </c>
      <c r="H209" s="8"/>
      <c r="K209" s="9"/>
      <c r="L209" s="9"/>
      <c r="M209" s="9"/>
    </row>
    <row r="210" spans="1:13" x14ac:dyDescent="0.2">
      <c r="A210" s="1">
        <v>44305</v>
      </c>
      <c r="B210">
        <v>133.509995</v>
      </c>
      <c r="C210">
        <v>135.470001</v>
      </c>
      <c r="D210">
        <v>133.33999600000001</v>
      </c>
      <c r="E210">
        <v>134.83999600000001</v>
      </c>
      <c r="F210">
        <v>134.04330400000001</v>
      </c>
      <c r="G210">
        <v>94264200</v>
      </c>
      <c r="H210" s="8"/>
      <c r="K210" s="9"/>
      <c r="L210" s="9"/>
      <c r="M210" s="9"/>
    </row>
    <row r="211" spans="1:13" x14ac:dyDescent="0.2">
      <c r="A211" s="1">
        <v>44302</v>
      </c>
      <c r="B211">
        <v>134.300003</v>
      </c>
      <c r="C211">
        <v>134.66999799999999</v>
      </c>
      <c r="D211">
        <v>133.279999</v>
      </c>
      <c r="E211">
        <v>134.16000399999999</v>
      </c>
      <c r="F211">
        <v>133.36734000000001</v>
      </c>
      <c r="G211">
        <v>84922400</v>
      </c>
      <c r="H211" s="8"/>
      <c r="K211" s="9"/>
      <c r="L211" s="9"/>
      <c r="M211" s="9"/>
    </row>
    <row r="212" spans="1:13" x14ac:dyDescent="0.2">
      <c r="A212" s="1">
        <v>44301</v>
      </c>
      <c r="B212">
        <v>133.820007</v>
      </c>
      <c r="C212">
        <v>135</v>
      </c>
      <c r="D212">
        <v>133.63999899999999</v>
      </c>
      <c r="E212">
        <v>134.5</v>
      </c>
      <c r="F212">
        <v>133.705307</v>
      </c>
      <c r="G212">
        <v>89347100</v>
      </c>
      <c r="H212" s="8"/>
      <c r="K212" s="9"/>
      <c r="L212" s="9"/>
      <c r="M212" s="9"/>
    </row>
    <row r="213" spans="1:13" x14ac:dyDescent="0.2">
      <c r="A213" s="1">
        <v>44300</v>
      </c>
      <c r="B213">
        <v>134.94000199999999</v>
      </c>
      <c r="C213">
        <v>135</v>
      </c>
      <c r="D213">
        <v>131.66000399999999</v>
      </c>
      <c r="E213">
        <v>132.029999</v>
      </c>
      <c r="F213">
        <v>131.24992399999999</v>
      </c>
      <c r="G213">
        <v>87222800</v>
      </c>
      <c r="H213" s="8"/>
      <c r="K213" s="9"/>
      <c r="L213" s="9"/>
      <c r="M213" s="9"/>
    </row>
    <row r="214" spans="1:13" x14ac:dyDescent="0.2">
      <c r="A214" s="1">
        <v>44299</v>
      </c>
      <c r="B214">
        <v>132.44000199999999</v>
      </c>
      <c r="C214">
        <v>134.66000399999999</v>
      </c>
      <c r="D214">
        <v>131.929993</v>
      </c>
      <c r="E214">
        <v>134.429993</v>
      </c>
      <c r="F214">
        <v>133.635727</v>
      </c>
      <c r="G214">
        <v>91266500</v>
      </c>
      <c r="H214" s="8"/>
      <c r="K214" s="9"/>
      <c r="L214" s="9"/>
      <c r="M214" s="9"/>
    </row>
    <row r="215" spans="1:13" x14ac:dyDescent="0.2">
      <c r="A215" s="1">
        <v>44298</v>
      </c>
      <c r="B215">
        <v>132.520004</v>
      </c>
      <c r="C215">
        <v>132.85000600000001</v>
      </c>
      <c r="D215">
        <v>130.63000500000001</v>
      </c>
      <c r="E215">
        <v>131.240005</v>
      </c>
      <c r="F215">
        <v>130.46459999999999</v>
      </c>
      <c r="G215">
        <v>91420000</v>
      </c>
      <c r="H215" s="8"/>
      <c r="K215" s="9"/>
      <c r="L215" s="9"/>
      <c r="M215" s="9"/>
    </row>
    <row r="216" spans="1:13" x14ac:dyDescent="0.2">
      <c r="A216" s="1">
        <v>44295</v>
      </c>
      <c r="B216">
        <v>129.800003</v>
      </c>
      <c r="C216">
        <v>133.03999300000001</v>
      </c>
      <c r="D216">
        <v>129.470001</v>
      </c>
      <c r="E216">
        <v>133</v>
      </c>
      <c r="F216">
        <v>132.21418800000001</v>
      </c>
      <c r="G216">
        <v>106686700</v>
      </c>
      <c r="H216" s="8"/>
      <c r="K216" s="9"/>
      <c r="L216" s="9"/>
      <c r="M216" s="9"/>
    </row>
    <row r="217" spans="1:13" x14ac:dyDescent="0.2">
      <c r="A217" s="1">
        <v>44294</v>
      </c>
      <c r="B217">
        <v>128.949997</v>
      </c>
      <c r="C217">
        <v>130.38999899999999</v>
      </c>
      <c r="D217">
        <v>128.520004</v>
      </c>
      <c r="E217">
        <v>130.36000100000001</v>
      </c>
      <c r="F217">
        <v>129.589798</v>
      </c>
      <c r="G217">
        <v>88844600</v>
      </c>
      <c r="H217" s="8"/>
      <c r="K217" s="9"/>
      <c r="L217" s="9"/>
      <c r="M217" s="9"/>
    </row>
    <row r="218" spans="1:13" x14ac:dyDescent="0.2">
      <c r="A218" s="1">
        <v>44293</v>
      </c>
      <c r="B218">
        <v>125.83000199999999</v>
      </c>
      <c r="C218">
        <v>127.91999800000001</v>
      </c>
      <c r="D218">
        <v>125.139999</v>
      </c>
      <c r="E218">
        <v>127.900002</v>
      </c>
      <c r="F218">
        <v>127.144318</v>
      </c>
      <c r="G218">
        <v>83466700</v>
      </c>
      <c r="H218" s="8"/>
      <c r="K218" s="9"/>
      <c r="L218" s="9"/>
      <c r="M218" s="9"/>
    </row>
    <row r="219" spans="1:13" x14ac:dyDescent="0.2">
      <c r="A219" s="1">
        <v>44292</v>
      </c>
      <c r="B219">
        <v>126.5</v>
      </c>
      <c r="C219">
        <v>127.129997</v>
      </c>
      <c r="D219">
        <v>125.650002</v>
      </c>
      <c r="E219">
        <v>126.209999</v>
      </c>
      <c r="F219">
        <v>125.464302</v>
      </c>
      <c r="G219">
        <v>80171300</v>
      </c>
      <c r="H219" s="8"/>
      <c r="K219" s="9"/>
      <c r="L219" s="9"/>
      <c r="M219" s="9"/>
    </row>
    <row r="220" spans="1:13" x14ac:dyDescent="0.2">
      <c r="A220" s="1">
        <v>44291</v>
      </c>
      <c r="B220">
        <v>123.870003</v>
      </c>
      <c r="C220">
        <v>126.160004</v>
      </c>
      <c r="D220">
        <v>123.07</v>
      </c>
      <c r="E220">
        <v>125.900002</v>
      </c>
      <c r="F220">
        <v>125.156128</v>
      </c>
      <c r="G220">
        <v>88651200</v>
      </c>
      <c r="H220" s="8"/>
      <c r="K220" s="9"/>
      <c r="L220" s="9"/>
      <c r="M220" s="9"/>
    </row>
    <row r="221" spans="1:13" x14ac:dyDescent="0.2">
      <c r="A221" s="1">
        <v>44287</v>
      </c>
      <c r="B221">
        <v>123.660004</v>
      </c>
      <c r="C221">
        <v>124.18</v>
      </c>
      <c r="D221">
        <v>122.489998</v>
      </c>
      <c r="E221">
        <v>123</v>
      </c>
      <c r="F221">
        <v>122.27327</v>
      </c>
      <c r="G221">
        <v>75089100</v>
      </c>
      <c r="H221" s="8"/>
      <c r="K221" s="9"/>
      <c r="L221" s="9"/>
      <c r="M221" s="9"/>
    </row>
    <row r="222" spans="1:13" x14ac:dyDescent="0.2">
      <c r="A222" s="1">
        <v>44286</v>
      </c>
      <c r="B222">
        <v>121.650002</v>
      </c>
      <c r="C222">
        <v>123.519997</v>
      </c>
      <c r="D222">
        <v>121.150002</v>
      </c>
      <c r="E222">
        <v>122.150002</v>
      </c>
      <c r="F222">
        <v>121.428299</v>
      </c>
      <c r="G222">
        <v>118323800</v>
      </c>
      <c r="H222" s="8"/>
      <c r="K222" s="9"/>
      <c r="L222" s="9"/>
      <c r="M222" s="9"/>
    </row>
    <row r="223" spans="1:13" x14ac:dyDescent="0.2">
      <c r="A223" s="1">
        <v>44285</v>
      </c>
      <c r="B223">
        <v>120.110001</v>
      </c>
      <c r="C223">
        <v>120.400002</v>
      </c>
      <c r="D223">
        <v>118.860001</v>
      </c>
      <c r="E223">
        <v>119.900002</v>
      </c>
      <c r="F223">
        <v>119.191582</v>
      </c>
      <c r="G223">
        <v>85671900</v>
      </c>
      <c r="H223" s="8"/>
      <c r="K223" s="9"/>
      <c r="L223" s="9"/>
      <c r="M223" s="9"/>
    </row>
    <row r="224" spans="1:13" x14ac:dyDescent="0.2">
      <c r="A224" s="1">
        <v>44284</v>
      </c>
      <c r="B224">
        <v>121.650002</v>
      </c>
      <c r="C224">
        <v>122.58000199999999</v>
      </c>
      <c r="D224">
        <v>120.730003</v>
      </c>
      <c r="E224">
        <v>121.389999</v>
      </c>
      <c r="F224">
        <v>120.672768</v>
      </c>
      <c r="G224">
        <v>80819200</v>
      </c>
      <c r="H224" s="8"/>
      <c r="K224" s="9"/>
      <c r="L224" s="9"/>
      <c r="M224" s="9"/>
    </row>
    <row r="225" spans="1:13" x14ac:dyDescent="0.2">
      <c r="A225" s="1">
        <v>44281</v>
      </c>
      <c r="B225">
        <v>120.349998</v>
      </c>
      <c r="C225">
        <v>121.480003</v>
      </c>
      <c r="D225">
        <v>118.91999800000001</v>
      </c>
      <c r="E225">
        <v>121.209999</v>
      </c>
      <c r="F225">
        <v>120.493835</v>
      </c>
      <c r="G225">
        <v>94071200</v>
      </c>
      <c r="H225" s="8"/>
      <c r="K225" s="9"/>
      <c r="L225" s="9"/>
      <c r="M225" s="9"/>
    </row>
    <row r="226" spans="1:13" x14ac:dyDescent="0.2">
      <c r="A226" s="1">
        <v>44280</v>
      </c>
      <c r="B226">
        <v>119.540001</v>
      </c>
      <c r="C226">
        <v>121.660004</v>
      </c>
      <c r="D226">
        <v>119</v>
      </c>
      <c r="E226">
        <v>120.589996</v>
      </c>
      <c r="F226">
        <v>119.87750200000001</v>
      </c>
      <c r="G226">
        <v>98844700</v>
      </c>
      <c r="H226" s="8"/>
      <c r="K226" s="9"/>
      <c r="L226" s="9"/>
      <c r="M226" s="9"/>
    </row>
    <row r="227" spans="1:13" x14ac:dyDescent="0.2">
      <c r="A227" s="1">
        <v>44279</v>
      </c>
      <c r="B227">
        <v>122.82</v>
      </c>
      <c r="C227">
        <v>122.900002</v>
      </c>
      <c r="D227">
        <v>120.07</v>
      </c>
      <c r="E227">
        <v>120.089996</v>
      </c>
      <c r="F227">
        <v>119.380455</v>
      </c>
      <c r="G227">
        <v>88530500</v>
      </c>
      <c r="H227" s="8"/>
      <c r="K227" s="9"/>
      <c r="L227" s="9"/>
      <c r="M227" s="9"/>
    </row>
    <row r="228" spans="1:13" x14ac:dyDescent="0.2">
      <c r="A228" s="1">
        <v>44278</v>
      </c>
      <c r="B228">
        <v>123.33000199999999</v>
      </c>
      <c r="C228">
        <v>124.239998</v>
      </c>
      <c r="D228">
        <v>122.139999</v>
      </c>
      <c r="E228">
        <v>122.540001</v>
      </c>
      <c r="F228">
        <v>121.81598700000001</v>
      </c>
      <c r="G228">
        <v>95467100</v>
      </c>
      <c r="H228" s="8"/>
      <c r="K228" s="9"/>
      <c r="L228" s="9"/>
      <c r="M228" s="9"/>
    </row>
    <row r="229" spans="1:13" x14ac:dyDescent="0.2">
      <c r="A229" s="1">
        <v>44277</v>
      </c>
      <c r="B229">
        <v>120.33000199999999</v>
      </c>
      <c r="C229">
        <v>123.870003</v>
      </c>
      <c r="D229">
        <v>120.260002</v>
      </c>
      <c r="E229">
        <v>123.389999</v>
      </c>
      <c r="F229">
        <v>122.660965</v>
      </c>
      <c r="G229">
        <v>111912300</v>
      </c>
      <c r="H229" s="8"/>
      <c r="K229" s="9"/>
      <c r="L229" s="9"/>
      <c r="M229" s="9"/>
    </row>
    <row r="230" spans="1:13" x14ac:dyDescent="0.2">
      <c r="A230" s="1">
        <v>44274</v>
      </c>
      <c r="B230">
        <v>119.900002</v>
      </c>
      <c r="C230">
        <v>121.43</v>
      </c>
      <c r="D230">
        <v>119.68</v>
      </c>
      <c r="E230">
        <v>119.989998</v>
      </c>
      <c r="F230">
        <v>119.281052</v>
      </c>
      <c r="G230">
        <v>185549500</v>
      </c>
      <c r="H230" s="8"/>
      <c r="K230" s="9"/>
      <c r="L230" s="9"/>
      <c r="M230" s="9"/>
    </row>
    <row r="231" spans="1:13" x14ac:dyDescent="0.2">
      <c r="A231" s="1">
        <v>44273</v>
      </c>
      <c r="B231">
        <v>122.879997</v>
      </c>
      <c r="C231">
        <v>123.18</v>
      </c>
      <c r="D231">
        <v>120.32</v>
      </c>
      <c r="E231">
        <v>120.529999</v>
      </c>
      <c r="F231">
        <v>119.81785600000001</v>
      </c>
      <c r="G231">
        <v>121229700</v>
      </c>
      <c r="H231" s="8"/>
      <c r="K231" s="9"/>
      <c r="L231" s="9"/>
      <c r="M231" s="9"/>
    </row>
    <row r="232" spans="1:13" x14ac:dyDescent="0.2">
      <c r="A232" s="1">
        <v>44272</v>
      </c>
      <c r="B232">
        <v>124.050003</v>
      </c>
      <c r="C232">
        <v>125.860001</v>
      </c>
      <c r="D232">
        <v>122.339996</v>
      </c>
      <c r="E232">
        <v>124.760002</v>
      </c>
      <c r="F232">
        <v>124.022865</v>
      </c>
      <c r="G232">
        <v>111932600</v>
      </c>
      <c r="H232" s="8"/>
      <c r="K232" s="9"/>
      <c r="L232" s="9"/>
      <c r="M232" s="9"/>
    </row>
    <row r="233" spans="1:13" x14ac:dyDescent="0.2">
      <c r="A233" s="1">
        <v>44271</v>
      </c>
      <c r="B233">
        <v>125.699997</v>
      </c>
      <c r="C233">
        <v>127.220001</v>
      </c>
      <c r="D233">
        <v>124.720001</v>
      </c>
      <c r="E233">
        <v>125.57</v>
      </c>
      <c r="F233">
        <v>124.828079</v>
      </c>
      <c r="G233">
        <v>115227900</v>
      </c>
      <c r="H233" s="8"/>
      <c r="K233" s="9"/>
      <c r="L233" s="9"/>
      <c r="M233" s="9"/>
    </row>
    <row r="234" spans="1:13" x14ac:dyDescent="0.2">
      <c r="A234" s="1">
        <v>44270</v>
      </c>
      <c r="B234">
        <v>121.410004</v>
      </c>
      <c r="C234">
        <v>124</v>
      </c>
      <c r="D234">
        <v>120.41999800000001</v>
      </c>
      <c r="E234">
        <v>123.989998</v>
      </c>
      <c r="F234">
        <v>123.25741600000001</v>
      </c>
      <c r="G234">
        <v>92403800</v>
      </c>
      <c r="H234" s="8"/>
      <c r="K234" s="9"/>
      <c r="L234" s="9"/>
      <c r="M234" s="9"/>
    </row>
    <row r="235" spans="1:13" x14ac:dyDescent="0.2">
      <c r="A235" s="1">
        <v>44267</v>
      </c>
      <c r="B235">
        <v>120.400002</v>
      </c>
      <c r="C235">
        <v>121.16999800000001</v>
      </c>
      <c r="D235">
        <v>119.160004</v>
      </c>
      <c r="E235">
        <v>121.029999</v>
      </c>
      <c r="F235">
        <v>120.314903</v>
      </c>
      <c r="G235">
        <v>88105100</v>
      </c>
      <c r="H235" s="8"/>
      <c r="K235" s="9"/>
      <c r="L235" s="9"/>
      <c r="M235" s="9"/>
    </row>
    <row r="236" spans="1:13" x14ac:dyDescent="0.2">
      <c r="A236" s="1">
        <v>44266</v>
      </c>
      <c r="B236">
        <v>122.540001</v>
      </c>
      <c r="C236">
        <v>123.209999</v>
      </c>
      <c r="D236">
        <v>121.260002</v>
      </c>
      <c r="E236">
        <v>121.959999</v>
      </c>
      <c r="F236">
        <v>121.23941000000001</v>
      </c>
      <c r="G236">
        <v>103026500</v>
      </c>
      <c r="H236" s="8"/>
      <c r="K236" s="9"/>
      <c r="L236" s="9"/>
      <c r="M236" s="9"/>
    </row>
    <row r="237" spans="1:13" x14ac:dyDescent="0.2">
      <c r="A237" s="1">
        <v>44265</v>
      </c>
      <c r="B237">
        <v>121.69000200000001</v>
      </c>
      <c r="C237">
        <v>122.16999800000001</v>
      </c>
      <c r="D237">
        <v>119.449997</v>
      </c>
      <c r="E237">
        <v>119.980003</v>
      </c>
      <c r="F237">
        <v>119.271118</v>
      </c>
      <c r="G237">
        <v>111943300</v>
      </c>
      <c r="H237" s="8"/>
      <c r="K237" s="9"/>
      <c r="L237" s="9"/>
      <c r="M237" s="9"/>
    </row>
    <row r="238" spans="1:13" x14ac:dyDescent="0.2">
      <c r="A238" s="1">
        <v>44264</v>
      </c>
      <c r="B238">
        <v>119.029999</v>
      </c>
      <c r="C238">
        <v>122.05999799999999</v>
      </c>
      <c r="D238">
        <v>118.790001</v>
      </c>
      <c r="E238">
        <v>121.089996</v>
      </c>
      <c r="F238">
        <v>120.37455</v>
      </c>
      <c r="G238">
        <v>129525800</v>
      </c>
      <c r="H238" s="8"/>
      <c r="K238" s="9"/>
      <c r="L238" s="9"/>
      <c r="M238" s="9"/>
    </row>
    <row r="239" spans="1:13" x14ac:dyDescent="0.2">
      <c r="A239" s="1">
        <v>44263</v>
      </c>
      <c r="B239">
        <v>120.93</v>
      </c>
      <c r="C239">
        <v>121</v>
      </c>
      <c r="D239">
        <v>116.209999</v>
      </c>
      <c r="E239">
        <v>116.360001</v>
      </c>
      <c r="F239">
        <v>115.672493</v>
      </c>
      <c r="G239">
        <v>154376600</v>
      </c>
      <c r="H239" s="8"/>
      <c r="K239" s="9"/>
      <c r="L239" s="9"/>
      <c r="M239" s="9"/>
    </row>
    <row r="240" spans="1:13" x14ac:dyDescent="0.2">
      <c r="A240" s="1">
        <v>44260</v>
      </c>
      <c r="B240">
        <v>120.980003</v>
      </c>
      <c r="C240">
        <v>121.94000200000001</v>
      </c>
      <c r="D240">
        <v>117.57</v>
      </c>
      <c r="E240">
        <v>121.41999800000001</v>
      </c>
      <c r="F240">
        <v>120.70259900000001</v>
      </c>
      <c r="G240">
        <v>153766600</v>
      </c>
      <c r="H240" s="8"/>
      <c r="K240" s="9"/>
      <c r="L240" s="9"/>
      <c r="M240" s="9"/>
    </row>
    <row r="241" spans="1:13" x14ac:dyDescent="0.2">
      <c r="A241" s="1">
        <v>44259</v>
      </c>
      <c r="B241">
        <v>121.75</v>
      </c>
      <c r="C241">
        <v>123.599998</v>
      </c>
      <c r="D241">
        <v>118.620003</v>
      </c>
      <c r="E241">
        <v>120.129997</v>
      </c>
      <c r="F241">
        <v>119.420219</v>
      </c>
      <c r="G241">
        <v>178155000</v>
      </c>
      <c r="H241" s="8"/>
      <c r="K241" s="9"/>
      <c r="L241" s="9"/>
      <c r="M241" s="9"/>
    </row>
    <row r="242" spans="1:13" x14ac:dyDescent="0.2">
      <c r="A242" s="1">
        <v>44258</v>
      </c>
      <c r="B242">
        <v>124.80999799999999</v>
      </c>
      <c r="C242">
        <v>125.709999</v>
      </c>
      <c r="D242">
        <v>121.839996</v>
      </c>
      <c r="E242">
        <v>122.05999799999999</v>
      </c>
      <c r="F242">
        <v>121.338829</v>
      </c>
      <c r="G242">
        <v>112966300</v>
      </c>
      <c r="H242" s="8"/>
      <c r="K242" s="9"/>
      <c r="L242" s="9"/>
      <c r="M242" s="9"/>
    </row>
    <row r="243" spans="1:13" x14ac:dyDescent="0.2">
      <c r="A243" s="1">
        <v>44257</v>
      </c>
      <c r="B243">
        <v>128.41000399999999</v>
      </c>
      <c r="C243">
        <v>128.720001</v>
      </c>
      <c r="D243">
        <v>125.010002</v>
      </c>
      <c r="E243">
        <v>125.120003</v>
      </c>
      <c r="F243">
        <v>124.380737</v>
      </c>
      <c r="G243">
        <v>102260900</v>
      </c>
      <c r="H243" s="8"/>
      <c r="K243" s="9"/>
      <c r="L243" s="9"/>
      <c r="M243" s="9"/>
    </row>
    <row r="244" spans="1:13" x14ac:dyDescent="0.2">
      <c r="A244" s="1">
        <v>44256</v>
      </c>
      <c r="B244">
        <v>123.75</v>
      </c>
      <c r="C244">
        <v>127.93</v>
      </c>
      <c r="D244">
        <v>122.790001</v>
      </c>
      <c r="E244">
        <v>127.790001</v>
      </c>
      <c r="F244">
        <v>127.03497299999999</v>
      </c>
      <c r="G244">
        <v>116307900</v>
      </c>
      <c r="H244" s="8"/>
      <c r="K244" s="9"/>
      <c r="L244" s="9"/>
      <c r="M244" s="9"/>
    </row>
    <row r="245" spans="1:13" x14ac:dyDescent="0.2">
      <c r="A245" s="1">
        <v>44253</v>
      </c>
      <c r="B245">
        <v>122.589996</v>
      </c>
      <c r="C245">
        <v>124.849998</v>
      </c>
      <c r="D245">
        <v>121.199997</v>
      </c>
      <c r="E245">
        <v>121.260002</v>
      </c>
      <c r="F245">
        <v>120.543549</v>
      </c>
      <c r="G245">
        <v>164560400</v>
      </c>
      <c r="H245" s="8"/>
      <c r="K245" s="9"/>
      <c r="L245" s="9"/>
      <c r="M245" s="9"/>
    </row>
    <row r="246" spans="1:13" x14ac:dyDescent="0.2">
      <c r="A246" s="1">
        <v>44252</v>
      </c>
      <c r="B246">
        <v>124.68</v>
      </c>
      <c r="C246">
        <v>126.459999</v>
      </c>
      <c r="D246">
        <v>120.540001</v>
      </c>
      <c r="E246">
        <v>120.989998</v>
      </c>
      <c r="F246">
        <v>120.275139</v>
      </c>
      <c r="G246">
        <v>148199500</v>
      </c>
      <c r="H246" s="8"/>
      <c r="K246" s="9"/>
      <c r="L246" s="9"/>
      <c r="M246" s="9"/>
    </row>
    <row r="247" spans="1:13" x14ac:dyDescent="0.2">
      <c r="A247" s="1">
        <v>44251</v>
      </c>
      <c r="B247">
        <v>124.94000200000001</v>
      </c>
      <c r="C247">
        <v>125.55999799999999</v>
      </c>
      <c r="D247">
        <v>122.230003</v>
      </c>
      <c r="E247">
        <v>125.349998</v>
      </c>
      <c r="F247">
        <v>124.609375</v>
      </c>
      <c r="G247">
        <v>111039900</v>
      </c>
      <c r="H247" s="8"/>
      <c r="K247" s="9"/>
      <c r="L247" s="9"/>
      <c r="M247" s="9"/>
    </row>
    <row r="248" spans="1:13" x14ac:dyDescent="0.2">
      <c r="A248" s="1">
        <v>44250</v>
      </c>
      <c r="B248">
        <v>123.760002</v>
      </c>
      <c r="C248">
        <v>126.709999</v>
      </c>
      <c r="D248">
        <v>118.389999</v>
      </c>
      <c r="E248">
        <v>125.860001</v>
      </c>
      <c r="F248">
        <v>125.116371</v>
      </c>
      <c r="G248">
        <v>158273000</v>
      </c>
      <c r="H248" s="8"/>
      <c r="K248" s="9"/>
      <c r="L248" s="9"/>
      <c r="M248" s="9"/>
    </row>
    <row r="249" spans="1:13" x14ac:dyDescent="0.2">
      <c r="A249" s="1">
        <v>44249</v>
      </c>
      <c r="B249">
        <v>128.009995</v>
      </c>
      <c r="C249">
        <v>129.720001</v>
      </c>
      <c r="D249">
        <v>125.599998</v>
      </c>
      <c r="E249">
        <v>126</v>
      </c>
      <c r="F249">
        <v>125.255539</v>
      </c>
      <c r="G249">
        <v>103916400</v>
      </c>
      <c r="H249" s="8"/>
      <c r="K249" s="9"/>
      <c r="L249" s="9"/>
      <c r="M249" s="9"/>
    </row>
    <row r="250" spans="1:13" x14ac:dyDescent="0.2">
      <c r="A250" s="1">
        <v>44246</v>
      </c>
      <c r="B250">
        <v>130.240005</v>
      </c>
      <c r="C250">
        <v>130.71000699999999</v>
      </c>
      <c r="D250">
        <v>128.800003</v>
      </c>
      <c r="E250">
        <v>129.86999499999999</v>
      </c>
      <c r="F250">
        <v>129.10266100000001</v>
      </c>
      <c r="G250">
        <v>87668800</v>
      </c>
      <c r="H250" s="8"/>
      <c r="K250" s="9"/>
      <c r="L250" s="9"/>
      <c r="M250" s="9"/>
    </row>
    <row r="251" spans="1:13" x14ac:dyDescent="0.2">
      <c r="A251" s="1">
        <v>44245</v>
      </c>
      <c r="B251">
        <v>129.199997</v>
      </c>
      <c r="C251">
        <v>130</v>
      </c>
      <c r="D251">
        <v>127.410004</v>
      </c>
      <c r="E251">
        <v>129.71000699999999</v>
      </c>
      <c r="F251">
        <v>128.94361900000001</v>
      </c>
      <c r="G251">
        <v>96856700</v>
      </c>
      <c r="H251" s="8"/>
      <c r="K251" s="9"/>
      <c r="L251" s="9"/>
      <c r="M251" s="9"/>
    </row>
    <row r="252" spans="1:13" x14ac:dyDescent="0.2">
      <c r="A252" s="1">
        <v>44244</v>
      </c>
      <c r="B252">
        <v>131.25</v>
      </c>
      <c r="C252">
        <v>132.220001</v>
      </c>
      <c r="D252">
        <v>129.470001</v>
      </c>
      <c r="E252">
        <v>130.83999600000001</v>
      </c>
      <c r="F252">
        <v>130.06693999999999</v>
      </c>
      <c r="G252">
        <v>97918500</v>
      </c>
      <c r="H252" s="8"/>
      <c r="K252" s="9"/>
      <c r="L252" s="9"/>
      <c r="M252" s="9"/>
    </row>
    <row r="253" spans="1:13" x14ac:dyDescent="0.2">
      <c r="A253" s="1">
        <v>44243</v>
      </c>
      <c r="B253">
        <v>135.490005</v>
      </c>
      <c r="C253">
        <v>136.009995</v>
      </c>
      <c r="D253">
        <v>132.78999300000001</v>
      </c>
      <c r="E253">
        <v>133.19000199999999</v>
      </c>
      <c r="F253">
        <v>132.40306100000001</v>
      </c>
      <c r="G253">
        <v>80576300</v>
      </c>
      <c r="H253" s="8"/>
      <c r="K253" s="9"/>
      <c r="L253" s="9"/>
      <c r="M253" s="9"/>
    </row>
    <row r="254" spans="1:13" x14ac:dyDescent="0.2">
      <c r="A254" s="1">
        <v>44239</v>
      </c>
      <c r="B254">
        <v>134.35000600000001</v>
      </c>
      <c r="C254">
        <v>135.529999</v>
      </c>
      <c r="D254">
        <v>133.69000199999999</v>
      </c>
      <c r="E254">
        <v>135.36999499999999</v>
      </c>
      <c r="F254">
        <v>134.57017500000001</v>
      </c>
      <c r="G254">
        <v>60145100</v>
      </c>
      <c r="H254" s="8"/>
      <c r="K254" s="9"/>
      <c r="L254" s="9"/>
      <c r="M254" s="9"/>
    </row>
    <row r="255" spans="1:13" x14ac:dyDescent="0.2">
      <c r="A255" s="1">
        <v>44238</v>
      </c>
      <c r="B255">
        <v>135.89999399999999</v>
      </c>
      <c r="C255">
        <v>136.38999899999999</v>
      </c>
      <c r="D255">
        <v>133.770004</v>
      </c>
      <c r="E255">
        <v>135.13000500000001</v>
      </c>
      <c r="F255">
        <v>134.33158900000001</v>
      </c>
      <c r="G255">
        <v>64280000</v>
      </c>
      <c r="H255" s="8"/>
      <c r="K255" s="9"/>
      <c r="L255" s="9"/>
      <c r="M255" s="9"/>
    </row>
  </sheetData>
  <phoneticPr fontId="3" type="noConversion"/>
  <conditionalFormatting sqref="H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85699-8B08-DB4C-A056-85400883DFC6}">
  <sheetPr codeName="Sheet2"/>
  <dimension ref="A1:F111"/>
  <sheetViews>
    <sheetView tabSelected="1" zoomScale="89" workbookViewId="0">
      <selection activeCell="V3" sqref="V3"/>
    </sheetView>
  </sheetViews>
  <sheetFormatPr baseColWidth="10" defaultRowHeight="16" x14ac:dyDescent="0.2"/>
  <cols>
    <col min="1" max="1" width="12.1640625" customWidth="1"/>
    <col min="2" max="2" width="20.5" bestFit="1" customWidth="1"/>
    <col min="3" max="3" width="14.1640625" bestFit="1" customWidth="1"/>
    <col min="4" max="4" width="41.83203125" customWidth="1"/>
    <col min="5" max="5" width="14.33203125" customWidth="1"/>
  </cols>
  <sheetData>
    <row r="1" spans="1:6" x14ac:dyDescent="0.2">
      <c r="A1" s="2" t="s">
        <v>18</v>
      </c>
    </row>
    <row r="3" spans="1:6" x14ac:dyDescent="0.2">
      <c r="A3" s="3" t="s">
        <v>7</v>
      </c>
      <c r="B3" s="3" t="s">
        <v>8</v>
      </c>
      <c r="C3" s="3"/>
      <c r="D3" s="3" t="s">
        <v>9</v>
      </c>
      <c r="E3" s="3" t="s">
        <v>6</v>
      </c>
      <c r="F3" s="3" t="s">
        <v>15</v>
      </c>
    </row>
    <row r="4" spans="1:6" x14ac:dyDescent="0.2">
      <c r="A4" s="7">
        <v>-0.21477130055427551</v>
      </c>
      <c r="B4" s="4">
        <v>89375464</v>
      </c>
      <c r="D4" s="7">
        <v>-1.1599885299801826E-2</v>
      </c>
      <c r="E4" s="4">
        <v>90558600</v>
      </c>
      <c r="F4" s="6">
        <v>1.3207534793764353E-3</v>
      </c>
    </row>
    <row r="5" spans="1:6" x14ac:dyDescent="0.2">
      <c r="B5" s="4"/>
      <c r="D5" s="7">
        <v>-9.055490605533123E-3</v>
      </c>
      <c r="E5" s="4">
        <v>89418100</v>
      </c>
      <c r="F5" s="6">
        <v>6.2471115961670876E-3</v>
      </c>
    </row>
    <row r="6" spans="1:6" x14ac:dyDescent="0.2">
      <c r="B6" s="4"/>
      <c r="D6" s="6">
        <v>2.7150886133313179E-2</v>
      </c>
      <c r="E6" s="4">
        <v>115541600</v>
      </c>
      <c r="F6" s="6">
        <v>2.7150886133313179E-2</v>
      </c>
    </row>
    <row r="7" spans="1:6" x14ac:dyDescent="0.2">
      <c r="B7" s="4"/>
      <c r="D7" s="6">
        <v>2.7879999950528145E-2</v>
      </c>
      <c r="E7" s="4">
        <v>179935700</v>
      </c>
      <c r="F7" s="7">
        <v>-1.9491858780384064E-2</v>
      </c>
    </row>
    <row r="8" spans="1:6" x14ac:dyDescent="0.2">
      <c r="B8" s="4"/>
      <c r="D8" s="7">
        <v>-1.9883016124367714E-2</v>
      </c>
      <c r="E8" s="4">
        <v>121954600</v>
      </c>
      <c r="F8" s="7">
        <v>-2.3453358560800552E-2</v>
      </c>
    </row>
    <row r="9" spans="1:6" x14ac:dyDescent="0.2">
      <c r="B9" s="4"/>
      <c r="D9" s="7">
        <v>-2.3302739486098289E-2</v>
      </c>
      <c r="E9" s="4">
        <v>108275300</v>
      </c>
      <c r="F9" s="6">
        <v>4.8929848708212376E-3</v>
      </c>
    </row>
    <row r="10" spans="1:6" x14ac:dyDescent="0.2">
      <c r="B10" s="4"/>
      <c r="D10" s="6">
        <v>5.0320983864367008E-3</v>
      </c>
      <c r="E10" s="4">
        <v>115798400</v>
      </c>
      <c r="F10" s="6">
        <v>1.0064102709293365E-2</v>
      </c>
    </row>
    <row r="11" spans="1:6" x14ac:dyDescent="0.2">
      <c r="B11" s="4"/>
      <c r="D11" s="6">
        <v>9.9986940622329712E-3</v>
      </c>
      <c r="E11" s="4">
        <v>162294600</v>
      </c>
      <c r="F11" s="7">
        <v>-1.2560891918838024E-2</v>
      </c>
    </row>
    <row r="12" spans="1:6" x14ac:dyDescent="0.2">
      <c r="B12" s="4"/>
      <c r="D12" s="7">
        <v>-1.2224753387272358E-2</v>
      </c>
      <c r="E12" s="4">
        <v>122848900</v>
      </c>
      <c r="F12" s="7">
        <v>-1.5022509731352329E-2</v>
      </c>
    </row>
    <row r="13" spans="1:6" x14ac:dyDescent="0.2">
      <c r="B13" s="4"/>
      <c r="D13" s="7">
        <v>-1.479219738394022E-2</v>
      </c>
      <c r="E13" s="4">
        <v>91420500</v>
      </c>
      <c r="F13" s="7">
        <v>-2.2577578201889992E-2</v>
      </c>
    </row>
    <row r="14" spans="1:6" x14ac:dyDescent="0.2">
      <c r="B14" s="4"/>
      <c r="D14" s="7">
        <v>-2.217649482190609E-2</v>
      </c>
      <c r="E14" s="4">
        <v>94815000</v>
      </c>
      <c r="F14" s="7">
        <v>-1.005877647548914E-2</v>
      </c>
    </row>
    <row r="15" spans="1:6" x14ac:dyDescent="0.2">
      <c r="B15" s="4"/>
      <c r="D15" s="7">
        <v>-9.9702179431915283E-3</v>
      </c>
      <c r="E15" s="4">
        <v>90956700</v>
      </c>
      <c r="F15" s="6">
        <v>1.0086939670145512E-2</v>
      </c>
    </row>
    <row r="16" spans="1:6" x14ac:dyDescent="0.2">
      <c r="D16" s="6">
        <v>1.8393659964203835E-2</v>
      </c>
      <c r="E16" s="4">
        <v>106765600</v>
      </c>
      <c r="F16" s="7">
        <v>-4.2583448812365532E-3</v>
      </c>
    </row>
    <row r="17" spans="4:6" x14ac:dyDescent="0.2">
      <c r="D17" s="7">
        <v>-4.0532541461288929E-3</v>
      </c>
      <c r="E17" s="4">
        <v>96904000</v>
      </c>
      <c r="F17" s="7">
        <v>-2.715693786740303E-2</v>
      </c>
    </row>
    <row r="18" spans="4:6" x14ac:dyDescent="0.2">
      <c r="D18" s="7">
        <v>-2.611214853823185E-2</v>
      </c>
      <c r="E18" s="4">
        <v>94537600</v>
      </c>
      <c r="F18" s="7">
        <v>-1.6313167288899422E-2</v>
      </c>
    </row>
    <row r="19" spans="4:6" x14ac:dyDescent="0.2">
      <c r="D19" s="7">
        <v>-1.6043409705162048E-2</v>
      </c>
      <c r="E19" s="4">
        <v>99310400</v>
      </c>
      <c r="F19" s="6">
        <v>2.2887766361236572E-2</v>
      </c>
    </row>
    <row r="20" spans="4:6" x14ac:dyDescent="0.2">
      <c r="D20" s="6">
        <v>2.3505555465817451E-2</v>
      </c>
      <c r="E20" s="4">
        <v>104487900</v>
      </c>
      <c r="F20" s="7">
        <v>-2.9240790754556656E-3</v>
      </c>
    </row>
    <row r="21" spans="4:6" x14ac:dyDescent="0.2">
      <c r="D21" s="6">
        <v>1.5025462955236435E-2</v>
      </c>
      <c r="E21" s="4">
        <v>92135300</v>
      </c>
      <c r="F21" s="6">
        <v>8.2640256732702255E-3</v>
      </c>
    </row>
    <row r="22" spans="4:6" x14ac:dyDescent="0.2">
      <c r="D22" s="6">
        <v>8.3353174850344658E-3</v>
      </c>
      <c r="E22" s="4">
        <v>91185900</v>
      </c>
      <c r="F22" s="6">
        <v>8.5684368386864662E-3</v>
      </c>
    </row>
    <row r="23" spans="4:6" x14ac:dyDescent="0.2">
      <c r="D23" s="6">
        <v>8.7354471907019615E-3</v>
      </c>
      <c r="E23" s="4">
        <v>107499100</v>
      </c>
      <c r="F23" s="6">
        <v>7.1904328651726246E-3</v>
      </c>
    </row>
    <row r="24" spans="4:6" x14ac:dyDescent="0.2">
      <c r="D24" s="6">
        <v>7.1206148713827133E-3</v>
      </c>
      <c r="E24" s="4">
        <v>195432700</v>
      </c>
      <c r="F24" s="7">
        <v>-4.1311152279376984E-2</v>
      </c>
    </row>
    <row r="25" spans="4:6" x14ac:dyDescent="0.2">
      <c r="D25" s="7">
        <v>-3.9156649261713028E-2</v>
      </c>
      <c r="E25" s="4">
        <v>150185800</v>
      </c>
      <c r="F25" s="6">
        <v>2.3371273651719093E-2</v>
      </c>
    </row>
    <row r="26" spans="4:6" x14ac:dyDescent="0.2">
      <c r="D26" s="6">
        <v>2.3927828297019005E-2</v>
      </c>
      <c r="E26" s="4">
        <v>131063300</v>
      </c>
      <c r="F26" s="7">
        <v>-5.2538290619850159E-3</v>
      </c>
    </row>
    <row r="27" spans="4:6" x14ac:dyDescent="0.2">
      <c r="D27" s="7">
        <v>-5.2496320568025112E-3</v>
      </c>
      <c r="E27" s="4">
        <v>139380400</v>
      </c>
      <c r="F27" s="7">
        <v>-3.0698943883180618E-2</v>
      </c>
    </row>
    <row r="28" spans="4:6" x14ac:dyDescent="0.2">
      <c r="D28" s="7">
        <v>-2.9704010114073753E-2</v>
      </c>
      <c r="E28" s="4">
        <v>153237000</v>
      </c>
      <c r="F28" s="6">
        <v>2.340983971953392E-2</v>
      </c>
    </row>
    <row r="29" spans="4:6" x14ac:dyDescent="0.2">
      <c r="D29" s="6">
        <v>2.4199474602937698E-2</v>
      </c>
      <c r="E29" s="4">
        <v>115228100</v>
      </c>
      <c r="F29" s="7">
        <v>-1.9976370967924595E-3</v>
      </c>
    </row>
    <row r="30" spans="4:6" x14ac:dyDescent="0.2">
      <c r="D30" s="7">
        <v>-2.0010634325444698E-3</v>
      </c>
      <c r="E30" s="4">
        <v>108923700</v>
      </c>
      <c r="F30" s="6">
        <v>1.6865799203515053E-2</v>
      </c>
    </row>
    <row r="31" spans="4:6" x14ac:dyDescent="0.2">
      <c r="D31" s="6">
        <v>1.7138192430138588E-2</v>
      </c>
      <c r="E31" s="4">
        <v>116998900</v>
      </c>
      <c r="F31" s="6">
        <v>1.2200028635561466E-2</v>
      </c>
    </row>
    <row r="32" spans="4:6" x14ac:dyDescent="0.2">
      <c r="D32" s="6">
        <v>1.2420102953910828E-2</v>
      </c>
      <c r="E32" s="4">
        <v>120405400</v>
      </c>
      <c r="F32" s="6">
        <v>6.0918736271560192E-3</v>
      </c>
    </row>
    <row r="33" spans="4:6" x14ac:dyDescent="0.2">
      <c r="D33" s="6">
        <v>6.2694870866835117E-3</v>
      </c>
      <c r="E33" s="4">
        <v>107497000</v>
      </c>
      <c r="F33" s="7">
        <v>-1.3269267976284027E-2</v>
      </c>
    </row>
    <row r="34" spans="4:6" x14ac:dyDescent="0.2">
      <c r="D34" s="7">
        <v>-1.3291110284626484E-2</v>
      </c>
      <c r="E34" s="4">
        <v>117938300</v>
      </c>
      <c r="F34" s="6">
        <v>3.0605962499976158E-2</v>
      </c>
    </row>
    <row r="35" spans="4:6" x14ac:dyDescent="0.2">
      <c r="D35" s="6">
        <v>3.1623974442481995E-2</v>
      </c>
      <c r="E35" s="4">
        <v>136739200</v>
      </c>
      <c r="F35" s="7">
        <v>-1.7071889713406563E-2</v>
      </c>
    </row>
    <row r="36" spans="4:6" x14ac:dyDescent="0.2">
      <c r="D36" s="7">
        <v>-1.6180988401174545E-2</v>
      </c>
      <c r="E36" s="4">
        <v>152052500</v>
      </c>
      <c r="F36" s="6">
        <v>3.1705267727375031E-2</v>
      </c>
    </row>
    <row r="37" spans="4:6" x14ac:dyDescent="0.2">
      <c r="D37" s="6">
        <v>3.31895612180233E-2</v>
      </c>
      <c r="E37" s="4">
        <v>174048100</v>
      </c>
      <c r="F37" s="6">
        <v>5.4379021748900414E-3</v>
      </c>
    </row>
    <row r="38" spans="4:6" x14ac:dyDescent="0.2">
      <c r="D38" s="6">
        <v>1.7999566625803709E-3</v>
      </c>
      <c r="E38" s="4">
        <v>96041900</v>
      </c>
      <c r="F38" s="7">
        <v>-4.0962575003504753E-3</v>
      </c>
    </row>
    <row r="39" spans="4:6" x14ac:dyDescent="0.2">
      <c r="D39" s="7">
        <v>-4.0820697322487831E-3</v>
      </c>
      <c r="E39" s="4">
        <v>117467900</v>
      </c>
      <c r="F39" s="6">
        <v>1.7936721444129944E-2</v>
      </c>
    </row>
    <row r="40" spans="4:6" x14ac:dyDescent="0.2">
      <c r="D40" s="6">
        <v>1.8395237624645233E-2</v>
      </c>
      <c r="E40" s="4">
        <v>117305600</v>
      </c>
      <c r="F40" s="6">
        <v>2.6387492194771767E-2</v>
      </c>
    </row>
    <row r="41" spans="4:6" x14ac:dyDescent="0.2">
      <c r="D41" s="6">
        <v>2.7063872665166855E-2</v>
      </c>
      <c r="E41" s="4">
        <v>137827700</v>
      </c>
      <c r="F41" s="6">
        <v>1.6199368983507156E-2</v>
      </c>
    </row>
    <row r="42" spans="4:6" x14ac:dyDescent="0.2">
      <c r="D42" s="6">
        <v>1.7524806782603264E-2</v>
      </c>
      <c r="E42" s="4">
        <v>124850400</v>
      </c>
      <c r="F42" s="6">
        <v>1.8679527565836906E-2</v>
      </c>
    </row>
    <row r="43" spans="4:6" x14ac:dyDescent="0.2">
      <c r="D43" s="6">
        <v>1.8355358392000198E-2</v>
      </c>
      <c r="E43" s="4">
        <v>100077900</v>
      </c>
      <c r="F43" s="7">
        <v>-3.4040512982755899E-3</v>
      </c>
    </row>
    <row r="44" spans="4:6" x14ac:dyDescent="0.2">
      <c r="D44" s="7">
        <v>-1.8481913954019547E-2</v>
      </c>
      <c r="E44" s="4">
        <v>98322000</v>
      </c>
      <c r="F44" s="6">
        <v>5.2906321361660957E-3</v>
      </c>
    </row>
    <row r="45" spans="4:6" x14ac:dyDescent="0.2">
      <c r="D45" s="6">
        <v>5.2854125387966633E-3</v>
      </c>
      <c r="E45" s="4">
        <v>94639600</v>
      </c>
      <c r="F45" s="7">
        <v>-1.5222015790641308E-2</v>
      </c>
    </row>
    <row r="46" spans="4:6" x14ac:dyDescent="0.2">
      <c r="D46" s="7">
        <v>-9.3542477115988731E-3</v>
      </c>
      <c r="E46" s="4">
        <v>108972300</v>
      </c>
      <c r="F46" s="7">
        <v>-6.9812213769182563E-4</v>
      </c>
    </row>
    <row r="47" spans="4:6" x14ac:dyDescent="0.2">
      <c r="D47" s="7">
        <v>-5.9805354103446007E-3</v>
      </c>
      <c r="E47" s="4">
        <v>123478900</v>
      </c>
      <c r="F47" s="7">
        <v>-1.9193386659026146E-2</v>
      </c>
    </row>
    <row r="48" spans="4:6" x14ac:dyDescent="0.2">
      <c r="D48" s="7">
        <v>-1.8545953556895256E-2</v>
      </c>
      <c r="E48" s="4">
        <v>129868800</v>
      </c>
      <c r="F48" s="6">
        <v>2.3517739027738571E-3</v>
      </c>
    </row>
    <row r="49" spans="4:6" x14ac:dyDescent="0.2">
      <c r="D49" s="7">
        <v>-1.4832131564617157E-2</v>
      </c>
      <c r="E49" s="4">
        <v>109296300</v>
      </c>
      <c r="F49" s="7">
        <v>-7.1832519024610519E-3</v>
      </c>
    </row>
    <row r="50" spans="4:6" x14ac:dyDescent="0.2">
      <c r="D50" s="7">
        <v>-7.1698995307087898E-3</v>
      </c>
      <c r="E50" s="4">
        <v>102404300</v>
      </c>
      <c r="F50" s="7">
        <v>-4.0031857788562775E-2</v>
      </c>
    </row>
    <row r="51" spans="4:6" x14ac:dyDescent="0.2">
      <c r="D51" s="7">
        <v>-3.8903217762708664E-2</v>
      </c>
      <c r="E51" s="4">
        <v>140646400</v>
      </c>
      <c r="F51" s="7">
        <v>-9.161277674138546E-3</v>
      </c>
    </row>
    <row r="52" spans="4:6" x14ac:dyDescent="0.2">
      <c r="D52" s="6">
        <v>2.7650972828269005E-2</v>
      </c>
      <c r="E52" s="4">
        <v>90956700</v>
      </c>
      <c r="F52" s="6">
        <v>7.5168455950915813E-3</v>
      </c>
    </row>
    <row r="53" spans="4:6" x14ac:dyDescent="0.2">
      <c r="D53" s="7">
        <v>-2.6621847064234316E-4</v>
      </c>
      <c r="E53" s="4">
        <v>92229700</v>
      </c>
      <c r="F53" s="6">
        <v>1.7173681408166885E-2</v>
      </c>
    </row>
    <row r="54" spans="4:6" x14ac:dyDescent="0.2">
      <c r="D54" s="6">
        <v>1.7369072884321213E-2</v>
      </c>
      <c r="E54" s="4">
        <v>103296000</v>
      </c>
      <c r="F54" s="6">
        <v>8.7521882960572839E-4</v>
      </c>
    </row>
    <row r="55" spans="4:6" x14ac:dyDescent="0.2">
      <c r="D55" s="6">
        <v>1.1739382753148675E-3</v>
      </c>
      <c r="E55" s="4">
        <v>118931200</v>
      </c>
      <c r="F55" s="7">
        <v>-1.6228098422288895E-2</v>
      </c>
    </row>
    <row r="56" spans="4:6" x14ac:dyDescent="0.2">
      <c r="D56" s="7">
        <v>-1.57590601593256E-2</v>
      </c>
      <c r="E56" s="4">
        <v>104818600</v>
      </c>
      <c r="F56" s="6">
        <v>4.8283329233527184E-3</v>
      </c>
    </row>
    <row r="57" spans="4:6" x14ac:dyDescent="0.2">
      <c r="D57" s="6">
        <v>1.8750779330730438E-2</v>
      </c>
      <c r="E57" s="4">
        <v>96350000</v>
      </c>
      <c r="F57" s="7">
        <v>-9.0617798268795013E-3</v>
      </c>
    </row>
    <row r="58" spans="4:6" x14ac:dyDescent="0.2">
      <c r="D58" s="7">
        <v>-9.0434988960623741E-3</v>
      </c>
      <c r="E58" s="4">
        <v>121434600</v>
      </c>
      <c r="F58" s="7">
        <v>-1.4400055631995201E-2</v>
      </c>
    </row>
    <row r="59" spans="4:6" x14ac:dyDescent="0.2">
      <c r="D59" s="7">
        <v>-1.3943202793598175E-2</v>
      </c>
      <c r="E59" s="4">
        <v>93251400</v>
      </c>
      <c r="F59" s="7">
        <v>-5.1192846149206161E-3</v>
      </c>
    </row>
    <row r="60" spans="4:6" x14ac:dyDescent="0.2">
      <c r="D60" s="7">
        <v>-5.0925286486744881E-3</v>
      </c>
      <c r="E60" s="4">
        <v>106820300</v>
      </c>
      <c r="F60" s="6">
        <v>7.0355664938688278E-3</v>
      </c>
    </row>
    <row r="61" spans="4:6" x14ac:dyDescent="0.2">
      <c r="D61" s="6">
        <v>7.0897229015827179E-3</v>
      </c>
      <c r="E61" s="4">
        <v>127050800</v>
      </c>
      <c r="F61" s="6">
        <v>1.0871032252907753E-2</v>
      </c>
    </row>
    <row r="62" spans="4:6" x14ac:dyDescent="0.2">
      <c r="D62" s="6">
        <v>1.1178227141499519E-2</v>
      </c>
      <c r="E62" s="4">
        <v>100827100</v>
      </c>
      <c r="F62" s="7">
        <v>-1.1872575618326664E-2</v>
      </c>
    </row>
    <row r="63" spans="4:6" x14ac:dyDescent="0.2">
      <c r="D63" s="6">
        <v>1.6532406210899353E-2</v>
      </c>
      <c r="E63" s="4">
        <v>99890800</v>
      </c>
      <c r="F63" s="6">
        <v>1.1628742329776287E-2</v>
      </c>
    </row>
    <row r="64" spans="4:6" x14ac:dyDescent="0.2">
      <c r="D64" s="6">
        <v>1.1724840849637985E-2</v>
      </c>
      <c r="E64" s="4">
        <v>105575500</v>
      </c>
      <c r="F64" s="6">
        <v>7.275137584656477E-3</v>
      </c>
    </row>
    <row r="65" spans="4:6" x14ac:dyDescent="0.2">
      <c r="D65" s="6">
        <v>7.175798062235117E-3</v>
      </c>
      <c r="E65" s="4">
        <v>104911600</v>
      </c>
      <c r="F65" s="6">
        <v>1.3585043139755726E-2</v>
      </c>
    </row>
    <row r="66" spans="4:6" x14ac:dyDescent="0.2">
      <c r="D66" s="6">
        <v>1.3921588659286499E-2</v>
      </c>
      <c r="E66" s="4">
        <v>108181800</v>
      </c>
      <c r="F66" s="6">
        <v>1.4707024209201336E-2</v>
      </c>
    </row>
    <row r="67" spans="4:6" x14ac:dyDescent="0.2">
      <c r="D67" s="7">
        <v>-1.9126308616250753E-3</v>
      </c>
      <c r="E67" s="4">
        <v>108953300</v>
      </c>
      <c r="F67" s="6">
        <v>1.5224465169012547E-2</v>
      </c>
    </row>
    <row r="68" spans="4:6" x14ac:dyDescent="0.2">
      <c r="D68" s="6">
        <v>1.5331201255321503E-2</v>
      </c>
      <c r="E68" s="4">
        <v>96721700</v>
      </c>
      <c r="F68" s="7">
        <v>-1.69492291752249E-3</v>
      </c>
    </row>
    <row r="69" spans="4:6" x14ac:dyDescent="0.2">
      <c r="D69" s="7">
        <v>-1.6875125002115965E-3</v>
      </c>
      <c r="E69" s="4">
        <v>91815000</v>
      </c>
      <c r="F69" s="7">
        <v>-2.3011660668998957E-3</v>
      </c>
    </row>
    <row r="70" spans="4:6" x14ac:dyDescent="0.2">
      <c r="D70" s="6">
        <v>2.0810483023524284E-2</v>
      </c>
      <c r="E70" s="4">
        <v>96906500</v>
      </c>
      <c r="F70" s="6">
        <v>6.4152637496590614E-3</v>
      </c>
    </row>
    <row r="71" spans="4:6" x14ac:dyDescent="0.2">
      <c r="D71" s="7">
        <v>-9.1743357479572296E-3</v>
      </c>
      <c r="E71" s="4">
        <v>94625600</v>
      </c>
      <c r="F71" s="7">
        <v>-8.6998572805896401E-4</v>
      </c>
    </row>
    <row r="72" spans="4:6" x14ac:dyDescent="0.2">
      <c r="D72" s="6">
        <v>1.2422847561538219E-2</v>
      </c>
      <c r="E72" s="4">
        <v>92612000</v>
      </c>
      <c r="F72" s="7">
        <v>-1.3884377665817738E-2</v>
      </c>
    </row>
    <row r="73" spans="4:6" x14ac:dyDescent="0.2">
      <c r="D73" s="6">
        <v>3.1305104494094849E-3</v>
      </c>
      <c r="E73" s="4">
        <v>105861300</v>
      </c>
      <c r="F73" s="7">
        <v>-5.0570317544043064E-3</v>
      </c>
    </row>
    <row r="74" spans="4:6" x14ac:dyDescent="0.2">
      <c r="D74" s="7">
        <v>-5.1053888164460659E-3</v>
      </c>
      <c r="E74" s="4">
        <v>112172300</v>
      </c>
      <c r="F74" s="6">
        <v>1.953001506626606E-2</v>
      </c>
    </row>
    <row r="75" spans="4:6" x14ac:dyDescent="0.2">
      <c r="D75" s="6">
        <v>1.9514203071594238E-2</v>
      </c>
      <c r="E75" s="4">
        <v>126142800</v>
      </c>
      <c r="F75" s="7">
        <v>-2.0728792995214462E-2</v>
      </c>
    </row>
    <row r="76" spans="4:6" x14ac:dyDescent="0.2">
      <c r="D76" s="7">
        <v>-2.5459287688136101E-2</v>
      </c>
      <c r="E76" s="4">
        <v>137564700</v>
      </c>
      <c r="F76" s="6">
        <v>3.8112660404294729E-3</v>
      </c>
    </row>
    <row r="77" spans="4:6" x14ac:dyDescent="0.2">
      <c r="D77" s="7">
        <v>-2.4282289668917656E-3</v>
      </c>
      <c r="E77" s="4">
        <v>109839500</v>
      </c>
      <c r="F77" s="7">
        <v>-2.2689368575811386E-2</v>
      </c>
    </row>
    <row r="78" spans="4:6" x14ac:dyDescent="0.2">
      <c r="D78" s="7">
        <v>-2.1909613162279129E-2</v>
      </c>
      <c r="E78" s="4">
        <v>151101000</v>
      </c>
      <c r="F78" s="7">
        <v>-5.3491317667067051E-3</v>
      </c>
    </row>
    <row r="79" spans="4:6" x14ac:dyDescent="0.2">
      <c r="D79" s="7">
        <v>-5.4351575672626495E-3</v>
      </c>
      <c r="E79" s="4">
        <v>107760100</v>
      </c>
      <c r="F79" s="7">
        <v>-4.6161566860973835E-3</v>
      </c>
    </row>
    <row r="80" spans="4:6" x14ac:dyDescent="0.2">
      <c r="D80" s="7">
        <v>-1.4146074652671814E-2</v>
      </c>
      <c r="E80" s="4">
        <v>94812300</v>
      </c>
      <c r="F80" s="6">
        <v>9.8503995686769485E-3</v>
      </c>
    </row>
    <row r="81" spans="4:6" x14ac:dyDescent="0.2">
      <c r="D81" s="6">
        <v>9.9618081003427505E-3</v>
      </c>
      <c r="E81" s="4">
        <v>94264200</v>
      </c>
      <c r="F81" s="7">
        <v>-1.0486030951142311E-3</v>
      </c>
    </row>
    <row r="82" spans="4:6" x14ac:dyDescent="0.2">
      <c r="D82" s="6">
        <v>1.5025603584945202E-2</v>
      </c>
      <c r="E82" s="4">
        <v>91266500</v>
      </c>
      <c r="F82" s="7">
        <v>-9.6647460013628006E-3</v>
      </c>
    </row>
    <row r="83" spans="4:6" x14ac:dyDescent="0.2">
      <c r="D83" s="7">
        <v>-9.6589112654328346E-3</v>
      </c>
      <c r="E83" s="4">
        <v>91420000</v>
      </c>
      <c r="F83" s="6">
        <v>2.414727583527565E-2</v>
      </c>
    </row>
    <row r="84" spans="4:6" x14ac:dyDescent="0.2">
      <c r="D84" s="6">
        <v>2.4653289467096329E-2</v>
      </c>
      <c r="E84" s="4">
        <v>106686700</v>
      </c>
      <c r="F84" s="6">
        <v>1.0862896218895912E-2</v>
      </c>
    </row>
    <row r="85" spans="4:6" x14ac:dyDescent="0.2">
      <c r="D85" s="6">
        <v>4.1101519018411636E-3</v>
      </c>
      <c r="E85" s="4">
        <v>118323800</v>
      </c>
      <c r="F85" s="7">
        <v>-1.7262556357309222E-3</v>
      </c>
    </row>
    <row r="86" spans="4:6" x14ac:dyDescent="0.2">
      <c r="D86" s="6">
        <v>7.1458332240581512E-3</v>
      </c>
      <c r="E86" s="4">
        <v>94071200</v>
      </c>
      <c r="F86" s="6">
        <v>8.7245116010308266E-3</v>
      </c>
    </row>
    <row r="87" spans="4:6" x14ac:dyDescent="0.2">
      <c r="D87" s="6">
        <v>8.7836291640996933E-3</v>
      </c>
      <c r="E87" s="4">
        <v>98844700</v>
      </c>
      <c r="F87" s="7">
        <v>-2.2837577387690544E-2</v>
      </c>
    </row>
    <row r="88" spans="4:6" x14ac:dyDescent="0.2">
      <c r="D88" s="7">
        <v>-6.405586376786232E-3</v>
      </c>
      <c r="E88" s="4">
        <v>95467100</v>
      </c>
      <c r="F88" s="6">
        <v>2.4811455979943275E-2</v>
      </c>
    </row>
    <row r="89" spans="4:6" x14ac:dyDescent="0.2">
      <c r="D89" s="6">
        <v>2.5430042296648026E-2</v>
      </c>
      <c r="E89" s="4">
        <v>111912300</v>
      </c>
      <c r="F89" s="6">
        <v>7.4790988583117723E-4</v>
      </c>
    </row>
    <row r="90" spans="4:6" x14ac:dyDescent="0.2">
      <c r="D90" s="6">
        <v>7.5059215305373073E-4</v>
      </c>
      <c r="E90" s="4">
        <v>185549500</v>
      </c>
      <c r="F90" s="7">
        <v>-1.9599650055170059E-2</v>
      </c>
    </row>
    <row r="91" spans="4:6" x14ac:dyDescent="0.2">
      <c r="D91" s="7">
        <v>-1.9124332815408707E-2</v>
      </c>
      <c r="E91" s="4">
        <v>121229700</v>
      </c>
      <c r="F91" s="6">
        <v>5.7779867202043533E-3</v>
      </c>
    </row>
    <row r="92" spans="4:6" x14ac:dyDescent="0.2">
      <c r="D92" s="6">
        <v>5.7234903797507286E-3</v>
      </c>
      <c r="E92" s="4">
        <v>111932600</v>
      </c>
      <c r="F92" s="7">
        <v>-1.0479403426870704E-3</v>
      </c>
    </row>
    <row r="93" spans="4:6" x14ac:dyDescent="0.2">
      <c r="D93" s="7">
        <v>-1.0341845918446779E-3</v>
      </c>
      <c r="E93" s="4">
        <v>115227900</v>
      </c>
      <c r="F93" s="6">
        <v>2.0525012165307999E-2</v>
      </c>
    </row>
    <row r="94" spans="4:6" x14ac:dyDescent="0.2">
      <c r="D94" s="6">
        <v>2.1250259131193161E-2</v>
      </c>
      <c r="E94" s="4">
        <v>92403800</v>
      </c>
      <c r="F94" s="6">
        <v>5.1890038885176182E-3</v>
      </c>
    </row>
    <row r="95" spans="4:6" x14ac:dyDescent="0.2">
      <c r="D95" s="7">
        <v>-4.7331647947430611E-3</v>
      </c>
      <c r="E95" s="4">
        <v>103026500</v>
      </c>
      <c r="F95" s="7">
        <v>-1.3954618945717812E-2</v>
      </c>
    </row>
    <row r="96" spans="4:6" x14ac:dyDescent="0.2">
      <c r="D96" s="7">
        <v>-1.4052091166377068E-2</v>
      </c>
      <c r="E96" s="4">
        <v>111943300</v>
      </c>
      <c r="F96" s="6">
        <v>1.6928235068917274E-2</v>
      </c>
    </row>
    <row r="97" spans="4:6" x14ac:dyDescent="0.2">
      <c r="D97" s="6">
        <v>1.7306536436080933E-2</v>
      </c>
      <c r="E97" s="4">
        <v>129525800</v>
      </c>
      <c r="F97" s="7">
        <v>-3.8393672555685043E-2</v>
      </c>
    </row>
    <row r="98" spans="4:6" x14ac:dyDescent="0.2">
      <c r="D98" s="7">
        <v>-3.7790447473526001E-2</v>
      </c>
      <c r="E98" s="4">
        <v>154376600</v>
      </c>
      <c r="F98" s="6">
        <v>3.6384272389113903E-3</v>
      </c>
    </row>
    <row r="99" spans="4:6" x14ac:dyDescent="0.2">
      <c r="D99" s="6">
        <v>3.63692338578403E-3</v>
      </c>
      <c r="E99" s="4">
        <v>153766600</v>
      </c>
      <c r="F99" s="7">
        <v>-1.3390667736530304E-2</v>
      </c>
    </row>
    <row r="100" spans="4:6" x14ac:dyDescent="0.2">
      <c r="D100" s="7">
        <v>-1.3305979780852795E-2</v>
      </c>
      <c r="E100" s="4">
        <v>178155000</v>
      </c>
      <c r="F100" s="7">
        <v>-2.258726954460144E-2</v>
      </c>
    </row>
    <row r="101" spans="4:6" x14ac:dyDescent="0.2">
      <c r="D101" s="7">
        <v>-2.2033492103219032E-2</v>
      </c>
      <c r="E101" s="4">
        <v>112966300</v>
      </c>
      <c r="F101" s="7">
        <v>-2.6360075920820236E-2</v>
      </c>
    </row>
    <row r="102" spans="4:6" x14ac:dyDescent="0.2">
      <c r="D102" s="7">
        <v>-2.5621064007282257E-2</v>
      </c>
      <c r="E102" s="4">
        <v>102260900</v>
      </c>
      <c r="F102" s="6">
        <v>3.1461730599403381E-2</v>
      </c>
    </row>
    <row r="103" spans="4:6" x14ac:dyDescent="0.2">
      <c r="D103" s="6">
        <v>3.2646473497152328E-2</v>
      </c>
      <c r="E103" s="4">
        <v>116307900</v>
      </c>
      <c r="F103" s="7">
        <v>-1.0747426189482212E-2</v>
      </c>
    </row>
    <row r="104" spans="4:6" x14ac:dyDescent="0.2">
      <c r="D104" s="7">
        <v>-1.0849123820662498E-2</v>
      </c>
      <c r="E104" s="4">
        <v>164560400</v>
      </c>
      <c r="F104" s="7">
        <v>-3.0100351199507713E-2</v>
      </c>
    </row>
    <row r="105" spans="4:6" x14ac:dyDescent="0.2">
      <c r="D105" s="7">
        <v>-2.9595781117677689E-2</v>
      </c>
      <c r="E105" s="4">
        <v>148199500</v>
      </c>
      <c r="F105" s="6">
        <v>3.2883861567825079E-3</v>
      </c>
    </row>
    <row r="106" spans="4:6" x14ac:dyDescent="0.2">
      <c r="D106" s="6">
        <v>3.281543031334877E-3</v>
      </c>
      <c r="E106" s="4">
        <v>111039900</v>
      </c>
      <c r="F106" s="6">
        <v>1.6808059066534042E-2</v>
      </c>
    </row>
    <row r="107" spans="4:6" x14ac:dyDescent="0.2">
      <c r="D107" s="6">
        <v>1.6968317329883575E-2</v>
      </c>
      <c r="E107" s="4">
        <v>158273000</v>
      </c>
      <c r="F107" s="7">
        <v>-1.6241071745753288E-2</v>
      </c>
    </row>
    <row r="108" spans="4:6" x14ac:dyDescent="0.2">
      <c r="D108" s="7">
        <v>-1.5701860189437866E-2</v>
      </c>
      <c r="E108" s="4">
        <v>103916400</v>
      </c>
      <c r="F108" s="7">
        <v>-2.8904774226248264E-3</v>
      </c>
    </row>
    <row r="109" spans="4:6" x14ac:dyDescent="0.2">
      <c r="D109" s="6">
        <v>3.9474461227655411E-3</v>
      </c>
      <c r="E109" s="4">
        <v>96856700</v>
      </c>
      <c r="F109" s="7">
        <v>-3.1734055373817682E-3</v>
      </c>
    </row>
    <row r="110" spans="4:6" x14ac:dyDescent="0.2">
      <c r="D110" s="7">
        <v>-3.1238400842994452E-3</v>
      </c>
      <c r="E110" s="4">
        <v>97918500</v>
      </c>
      <c r="F110" s="7">
        <v>-1.7523832619190216E-2</v>
      </c>
    </row>
    <row r="111" spans="4:6" x14ac:dyDescent="0.2">
      <c r="D111" s="5"/>
      <c r="E111" s="4"/>
      <c r="F111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_xludf.Clear">
                <anchor moveWithCells="1" sizeWithCells="1">
                  <from>
                    <xdr:col>20</xdr:col>
                    <xdr:colOff>254000</xdr:colOff>
                    <xdr:row>6</xdr:row>
                    <xdr:rowOff>139700</xdr:rowOff>
                  </from>
                  <to>
                    <xdr:col>22</xdr:col>
                    <xdr:colOff>127000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ickerAnalysis">
                <anchor moveWithCells="1" sizeWithCells="1">
                  <from>
                    <xdr:col>20</xdr:col>
                    <xdr:colOff>241300</xdr:colOff>
                    <xdr:row>2</xdr:row>
                    <xdr:rowOff>139700</xdr:rowOff>
                  </from>
                  <to>
                    <xdr:col>22</xdr:col>
                    <xdr:colOff>114300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421EC-3F1A-6541-9E85-0C2C3F8F0903}">
  <sheetPr codeName="Sheet5"/>
  <dimension ref="A1:G254"/>
  <sheetViews>
    <sheetView workbookViewId="0"/>
  </sheetViews>
  <sheetFormatPr baseColWidth="10" defaultRowHeight="16" x14ac:dyDescent="0.2"/>
  <cols>
    <col min="1" max="1" width="8.83203125" bestFit="1" customWidth="1"/>
    <col min="2" max="6" width="11.1640625" bestFit="1" customWidth="1"/>
    <col min="7" max="7" width="10" bestFit="1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 s="1">
        <v>44251</v>
      </c>
      <c r="B2">
        <v>230.009995</v>
      </c>
      <c r="C2">
        <v>235.199997</v>
      </c>
      <c r="D2">
        <v>229</v>
      </c>
      <c r="E2">
        <v>234.550003</v>
      </c>
      <c r="F2">
        <v>232.65493799999999</v>
      </c>
      <c r="G2">
        <v>26339700</v>
      </c>
    </row>
    <row r="3" spans="1:7" x14ac:dyDescent="0.2">
      <c r="A3" s="1">
        <v>44252</v>
      </c>
      <c r="B3">
        <v>232.08000200000001</v>
      </c>
      <c r="C3">
        <v>234.58999600000001</v>
      </c>
      <c r="D3">
        <v>227.88000500000001</v>
      </c>
      <c r="E3">
        <v>228.990005</v>
      </c>
      <c r="F3">
        <v>227.139847</v>
      </c>
      <c r="G3">
        <v>39542200</v>
      </c>
    </row>
    <row r="4" spans="1:7" x14ac:dyDescent="0.2">
      <c r="A4" s="1">
        <v>44253</v>
      </c>
      <c r="B4">
        <v>231.529999</v>
      </c>
      <c r="C4">
        <v>235.36999499999999</v>
      </c>
      <c r="D4">
        <v>229.53999300000001</v>
      </c>
      <c r="E4">
        <v>232.38000500000001</v>
      </c>
      <c r="F4">
        <v>230.50247200000001</v>
      </c>
      <c r="G4">
        <v>37819200</v>
      </c>
    </row>
    <row r="5" spans="1:7" x14ac:dyDescent="0.2">
      <c r="A5" s="1">
        <v>44256</v>
      </c>
      <c r="B5">
        <v>235.89999399999999</v>
      </c>
      <c r="C5">
        <v>237.470001</v>
      </c>
      <c r="D5">
        <v>233.14999399999999</v>
      </c>
      <c r="E5">
        <v>236.94000199999999</v>
      </c>
      <c r="F5">
        <v>235.02562</v>
      </c>
      <c r="G5">
        <v>25324000</v>
      </c>
    </row>
    <row r="6" spans="1:7" x14ac:dyDescent="0.2">
      <c r="A6" s="1">
        <v>44257</v>
      </c>
      <c r="B6">
        <v>237.009995</v>
      </c>
      <c r="C6">
        <v>237.300003</v>
      </c>
      <c r="D6">
        <v>233.449997</v>
      </c>
      <c r="E6">
        <v>233.86999499999999</v>
      </c>
      <c r="F6">
        <v>231.98040800000001</v>
      </c>
      <c r="G6">
        <v>22812500</v>
      </c>
    </row>
    <row r="7" spans="1:7" x14ac:dyDescent="0.2">
      <c r="A7" s="1">
        <v>44258</v>
      </c>
      <c r="B7">
        <v>232.16000399999999</v>
      </c>
      <c r="C7">
        <v>233.58000200000001</v>
      </c>
      <c r="D7">
        <v>227.259995</v>
      </c>
      <c r="E7">
        <v>227.55999800000001</v>
      </c>
      <c r="F7">
        <v>225.72139000000001</v>
      </c>
      <c r="G7">
        <v>34029500</v>
      </c>
    </row>
    <row r="8" spans="1:7" x14ac:dyDescent="0.2">
      <c r="A8" s="1">
        <v>44259</v>
      </c>
      <c r="B8">
        <v>226.740005</v>
      </c>
      <c r="C8">
        <v>232.490005</v>
      </c>
      <c r="D8">
        <v>224.259995</v>
      </c>
      <c r="E8">
        <v>226.729996</v>
      </c>
      <c r="F8">
        <v>224.89810199999999</v>
      </c>
      <c r="G8">
        <v>44727800</v>
      </c>
    </row>
    <row r="9" spans="1:7" x14ac:dyDescent="0.2">
      <c r="A9" s="1">
        <v>44260</v>
      </c>
      <c r="B9">
        <v>229.520004</v>
      </c>
      <c r="C9">
        <v>233.270004</v>
      </c>
      <c r="D9">
        <v>226.46000699999999</v>
      </c>
      <c r="E9">
        <v>231.60000600000001</v>
      </c>
      <c r="F9">
        <v>229.728745</v>
      </c>
      <c r="G9">
        <v>41872800</v>
      </c>
    </row>
    <row r="10" spans="1:7" x14ac:dyDescent="0.2">
      <c r="A10" s="1">
        <v>44263</v>
      </c>
      <c r="B10">
        <v>231.36999499999999</v>
      </c>
      <c r="C10">
        <v>233.36999499999999</v>
      </c>
      <c r="D10">
        <v>227.13000500000001</v>
      </c>
      <c r="E10">
        <v>227.38999899999999</v>
      </c>
      <c r="F10">
        <v>225.55278000000001</v>
      </c>
      <c r="G10">
        <v>35267400</v>
      </c>
    </row>
    <row r="11" spans="1:7" x14ac:dyDescent="0.2">
      <c r="A11" s="1">
        <v>44264</v>
      </c>
      <c r="B11">
        <v>232.88000500000001</v>
      </c>
      <c r="C11">
        <v>235.38000500000001</v>
      </c>
      <c r="D11">
        <v>231.66999799999999</v>
      </c>
      <c r="E11">
        <v>233.779999</v>
      </c>
      <c r="F11">
        <v>231.891144</v>
      </c>
      <c r="G11">
        <v>33080500</v>
      </c>
    </row>
    <row r="12" spans="1:7" x14ac:dyDescent="0.2">
      <c r="A12" s="1">
        <v>44265</v>
      </c>
      <c r="B12">
        <v>237</v>
      </c>
      <c r="C12">
        <v>237</v>
      </c>
      <c r="D12">
        <v>232.03999300000001</v>
      </c>
      <c r="E12">
        <v>232.41999799999999</v>
      </c>
      <c r="F12">
        <v>230.54212999999999</v>
      </c>
      <c r="G12">
        <v>29746800</v>
      </c>
    </row>
    <row r="13" spans="1:7" x14ac:dyDescent="0.2">
      <c r="A13" s="1">
        <v>44266</v>
      </c>
      <c r="B13">
        <v>234.96000699999999</v>
      </c>
      <c r="C13">
        <v>239.16999799999999</v>
      </c>
      <c r="D13">
        <v>234.30999800000001</v>
      </c>
      <c r="E13">
        <v>237.13000500000001</v>
      </c>
      <c r="F13">
        <v>235.21409600000001</v>
      </c>
      <c r="G13">
        <v>29907600</v>
      </c>
    </row>
    <row r="14" spans="1:7" x14ac:dyDescent="0.2">
      <c r="A14" s="1">
        <v>44267</v>
      </c>
      <c r="B14">
        <v>234.009995</v>
      </c>
      <c r="C14">
        <v>235.820007</v>
      </c>
      <c r="D14">
        <v>233.229996</v>
      </c>
      <c r="E14">
        <v>235.75</v>
      </c>
      <c r="F14">
        <v>233.84522999999999</v>
      </c>
      <c r="G14">
        <v>22653700</v>
      </c>
    </row>
    <row r="15" spans="1:7" x14ac:dyDescent="0.2">
      <c r="A15" s="1">
        <v>44270</v>
      </c>
      <c r="B15">
        <v>234.96000699999999</v>
      </c>
      <c r="C15">
        <v>235.19000199999999</v>
      </c>
      <c r="D15">
        <v>231.80999800000001</v>
      </c>
      <c r="E15">
        <v>234.80999800000001</v>
      </c>
      <c r="F15">
        <v>232.91282699999999</v>
      </c>
      <c r="G15">
        <v>26034900</v>
      </c>
    </row>
    <row r="16" spans="1:7" x14ac:dyDescent="0.2">
      <c r="A16" s="1">
        <v>44271</v>
      </c>
      <c r="B16">
        <v>236.279999</v>
      </c>
      <c r="C16">
        <v>240.05999800000001</v>
      </c>
      <c r="D16">
        <v>235.94000199999999</v>
      </c>
      <c r="E16">
        <v>237.71000699999999</v>
      </c>
      <c r="F16">
        <v>235.78938299999999</v>
      </c>
      <c r="G16">
        <v>28092200</v>
      </c>
    </row>
    <row r="17" spans="1:7" x14ac:dyDescent="0.2">
      <c r="A17" s="1">
        <v>44272</v>
      </c>
      <c r="B17">
        <v>236.14999399999999</v>
      </c>
      <c r="C17">
        <v>238.550003</v>
      </c>
      <c r="D17">
        <v>233.229996</v>
      </c>
      <c r="E17">
        <v>237.03999300000001</v>
      </c>
      <c r="F17">
        <v>235.124786</v>
      </c>
      <c r="G17">
        <v>29562100</v>
      </c>
    </row>
    <row r="18" spans="1:7" x14ac:dyDescent="0.2">
      <c r="A18" s="1">
        <v>44273</v>
      </c>
      <c r="B18">
        <v>232.55999800000001</v>
      </c>
      <c r="C18">
        <v>234.19000199999999</v>
      </c>
      <c r="D18">
        <v>230.33000200000001</v>
      </c>
      <c r="E18">
        <v>230.720001</v>
      </c>
      <c r="F18">
        <v>228.85588100000001</v>
      </c>
      <c r="G18">
        <v>34833000</v>
      </c>
    </row>
    <row r="19" spans="1:7" x14ac:dyDescent="0.2">
      <c r="A19" s="1">
        <v>44274</v>
      </c>
      <c r="B19">
        <v>231.020004</v>
      </c>
      <c r="C19">
        <v>232.470001</v>
      </c>
      <c r="D19">
        <v>229.35000600000001</v>
      </c>
      <c r="E19">
        <v>230.35000600000001</v>
      </c>
      <c r="F19">
        <v>228.488846</v>
      </c>
      <c r="G19">
        <v>46430700</v>
      </c>
    </row>
    <row r="20" spans="1:7" x14ac:dyDescent="0.2">
      <c r="A20" s="1">
        <v>44277</v>
      </c>
      <c r="B20">
        <v>230.270004</v>
      </c>
      <c r="C20">
        <v>236.89999399999999</v>
      </c>
      <c r="D20">
        <v>230.13999899999999</v>
      </c>
      <c r="E20">
        <v>235.990005</v>
      </c>
      <c r="F20">
        <v>234.08329800000001</v>
      </c>
      <c r="G20">
        <v>30127000</v>
      </c>
    </row>
    <row r="21" spans="1:7" x14ac:dyDescent="0.2">
      <c r="A21" s="1">
        <v>44278</v>
      </c>
      <c r="B21">
        <v>237.490005</v>
      </c>
      <c r="C21">
        <v>241.050003</v>
      </c>
      <c r="D21">
        <v>237.070007</v>
      </c>
      <c r="E21">
        <v>237.58000200000001</v>
      </c>
      <c r="F21">
        <v>235.660461</v>
      </c>
      <c r="G21">
        <v>31638400</v>
      </c>
    </row>
    <row r="22" spans="1:7" x14ac:dyDescent="0.2">
      <c r="A22" s="1">
        <v>44279</v>
      </c>
      <c r="B22">
        <v>237.85000600000001</v>
      </c>
      <c r="C22">
        <v>238</v>
      </c>
      <c r="D22">
        <v>235.320007</v>
      </c>
      <c r="E22">
        <v>235.46000699999999</v>
      </c>
      <c r="F22">
        <v>233.55758700000001</v>
      </c>
      <c r="G22">
        <v>25620100</v>
      </c>
    </row>
    <row r="23" spans="1:7" x14ac:dyDescent="0.2">
      <c r="A23" s="1">
        <v>44280</v>
      </c>
      <c r="B23">
        <v>235.300003</v>
      </c>
      <c r="C23">
        <v>236.94000199999999</v>
      </c>
      <c r="D23">
        <v>231.570007</v>
      </c>
      <c r="E23">
        <v>232.33999600000001</v>
      </c>
      <c r="F23">
        <v>230.462784</v>
      </c>
      <c r="G23">
        <v>34061900</v>
      </c>
    </row>
    <row r="24" spans="1:7" x14ac:dyDescent="0.2">
      <c r="A24" s="1">
        <v>44281</v>
      </c>
      <c r="B24">
        <v>231.550003</v>
      </c>
      <c r="C24">
        <v>236.71000699999999</v>
      </c>
      <c r="D24">
        <v>231.550003</v>
      </c>
      <c r="E24">
        <v>236.479996</v>
      </c>
      <c r="F24">
        <v>234.56930500000001</v>
      </c>
      <c r="G24">
        <v>25479900</v>
      </c>
    </row>
    <row r="25" spans="1:7" x14ac:dyDescent="0.2">
      <c r="A25" s="1">
        <v>44284</v>
      </c>
      <c r="B25">
        <v>236.58999600000001</v>
      </c>
      <c r="C25">
        <v>236.800003</v>
      </c>
      <c r="D25">
        <v>231.88000500000001</v>
      </c>
      <c r="E25">
        <v>235.240005</v>
      </c>
      <c r="F25">
        <v>233.33935500000001</v>
      </c>
      <c r="G25">
        <v>25227500</v>
      </c>
    </row>
    <row r="26" spans="1:7" x14ac:dyDescent="0.2">
      <c r="A26" s="1">
        <v>44285</v>
      </c>
      <c r="B26">
        <v>233.529999</v>
      </c>
      <c r="C26">
        <v>233.85000600000001</v>
      </c>
      <c r="D26">
        <v>231.10000600000001</v>
      </c>
      <c r="E26">
        <v>231.85000600000001</v>
      </c>
      <c r="F26">
        <v>229.97674599999999</v>
      </c>
      <c r="G26">
        <v>24792000</v>
      </c>
    </row>
    <row r="27" spans="1:7" x14ac:dyDescent="0.2">
      <c r="A27" s="1">
        <v>44286</v>
      </c>
      <c r="B27">
        <v>232.91000399999999</v>
      </c>
      <c r="C27">
        <v>239.10000600000001</v>
      </c>
      <c r="D27">
        <v>232.38999899999999</v>
      </c>
      <c r="E27">
        <v>235.770004</v>
      </c>
      <c r="F27">
        <v>233.86506700000001</v>
      </c>
      <c r="G27">
        <v>43623500</v>
      </c>
    </row>
    <row r="28" spans="1:7" x14ac:dyDescent="0.2">
      <c r="A28" s="1">
        <v>44287</v>
      </c>
      <c r="B28">
        <v>238.470001</v>
      </c>
      <c r="C28">
        <v>242.83999600000001</v>
      </c>
      <c r="D28">
        <v>238.050003</v>
      </c>
      <c r="E28">
        <v>242.35000600000001</v>
      </c>
      <c r="F28">
        <v>240.39189099999999</v>
      </c>
      <c r="G28">
        <v>30338000</v>
      </c>
    </row>
    <row r="29" spans="1:7" x14ac:dyDescent="0.2">
      <c r="A29" s="1">
        <v>44291</v>
      </c>
      <c r="B29">
        <v>242.759995</v>
      </c>
      <c r="C29">
        <v>249.96000699999999</v>
      </c>
      <c r="D29">
        <v>242.699997</v>
      </c>
      <c r="E29">
        <v>249.070007</v>
      </c>
      <c r="F29">
        <v>247.05761699999999</v>
      </c>
      <c r="G29">
        <v>36910600</v>
      </c>
    </row>
    <row r="30" spans="1:7" x14ac:dyDescent="0.2">
      <c r="A30" s="1">
        <v>44292</v>
      </c>
      <c r="B30">
        <v>247.61000100000001</v>
      </c>
      <c r="C30">
        <v>249.39999399999999</v>
      </c>
      <c r="D30">
        <v>246.88000500000001</v>
      </c>
      <c r="E30">
        <v>247.86000100000001</v>
      </c>
      <c r="F30">
        <v>245.85739100000001</v>
      </c>
      <c r="G30">
        <v>22931900</v>
      </c>
    </row>
    <row r="31" spans="1:7" x14ac:dyDescent="0.2">
      <c r="A31" s="1">
        <v>44293</v>
      </c>
      <c r="B31">
        <v>247.80999800000001</v>
      </c>
      <c r="C31">
        <v>250.929993</v>
      </c>
      <c r="D31">
        <v>247.19000199999999</v>
      </c>
      <c r="E31">
        <v>249.89999399999999</v>
      </c>
      <c r="F31">
        <v>247.88090500000001</v>
      </c>
      <c r="G31">
        <v>22719800</v>
      </c>
    </row>
    <row r="32" spans="1:7" x14ac:dyDescent="0.2">
      <c r="A32" s="1">
        <v>44294</v>
      </c>
      <c r="B32">
        <v>252.770004</v>
      </c>
      <c r="C32">
        <v>254.13999899999999</v>
      </c>
      <c r="D32">
        <v>252</v>
      </c>
      <c r="E32">
        <v>253.25</v>
      </c>
      <c r="F32">
        <v>251.20382699999999</v>
      </c>
      <c r="G32">
        <v>23625200</v>
      </c>
    </row>
    <row r="33" spans="1:7" x14ac:dyDescent="0.2">
      <c r="A33" s="1">
        <v>44295</v>
      </c>
      <c r="B33">
        <v>252.86999499999999</v>
      </c>
      <c r="C33">
        <v>255.990005</v>
      </c>
      <c r="D33">
        <v>252.44000199999999</v>
      </c>
      <c r="E33">
        <v>255.85000600000001</v>
      </c>
      <c r="F33">
        <v>253.782837</v>
      </c>
      <c r="G33">
        <v>24326800</v>
      </c>
    </row>
    <row r="34" spans="1:7" x14ac:dyDescent="0.2">
      <c r="A34" s="1">
        <v>44298</v>
      </c>
      <c r="B34">
        <v>254.71000699999999</v>
      </c>
      <c r="C34">
        <v>257.67001299999998</v>
      </c>
      <c r="D34">
        <v>254.61999499999999</v>
      </c>
      <c r="E34">
        <v>255.91000399999999</v>
      </c>
      <c r="F34">
        <v>253.84234599999999</v>
      </c>
      <c r="G34">
        <v>27148700</v>
      </c>
    </row>
    <row r="35" spans="1:7" x14ac:dyDescent="0.2">
      <c r="A35" s="1">
        <v>44299</v>
      </c>
      <c r="B35">
        <v>257.26001000000002</v>
      </c>
      <c r="C35">
        <v>259.19000199999999</v>
      </c>
      <c r="D35">
        <v>256.82998700000002</v>
      </c>
      <c r="E35">
        <v>258.48998999999998</v>
      </c>
      <c r="F35">
        <v>256.40152</v>
      </c>
      <c r="G35">
        <v>23837500</v>
      </c>
    </row>
    <row r="36" spans="1:7" x14ac:dyDescent="0.2">
      <c r="A36" s="1">
        <v>44300</v>
      </c>
      <c r="B36">
        <v>257.48001099999999</v>
      </c>
      <c r="C36">
        <v>258.82998700000002</v>
      </c>
      <c r="D36">
        <v>255.16000399999999</v>
      </c>
      <c r="E36">
        <v>255.58999600000001</v>
      </c>
      <c r="F36">
        <v>253.524933</v>
      </c>
      <c r="G36">
        <v>23070900</v>
      </c>
    </row>
    <row r="37" spans="1:7" x14ac:dyDescent="0.2">
      <c r="A37" s="1">
        <v>44301</v>
      </c>
      <c r="B37">
        <v>257.92999300000002</v>
      </c>
      <c r="C37">
        <v>259.92999300000002</v>
      </c>
      <c r="D37">
        <v>257.73001099999999</v>
      </c>
      <c r="E37">
        <v>259.5</v>
      </c>
      <c r="F37">
        <v>257.40332000000001</v>
      </c>
      <c r="G37">
        <v>25627500</v>
      </c>
    </row>
    <row r="38" spans="1:7" x14ac:dyDescent="0.2">
      <c r="A38" s="1">
        <v>44302</v>
      </c>
      <c r="B38">
        <v>259.47000100000002</v>
      </c>
      <c r="C38">
        <v>261</v>
      </c>
      <c r="D38">
        <v>257.60000600000001</v>
      </c>
      <c r="E38">
        <v>260.73998999999998</v>
      </c>
      <c r="F38">
        <v>258.63330100000002</v>
      </c>
      <c r="G38">
        <v>24878600</v>
      </c>
    </row>
    <row r="39" spans="1:7" x14ac:dyDescent="0.2">
      <c r="A39" s="1">
        <v>44305</v>
      </c>
      <c r="B39">
        <v>260.19000199999999</v>
      </c>
      <c r="C39">
        <v>261.48001099999999</v>
      </c>
      <c r="D39">
        <v>257.82000699999998</v>
      </c>
      <c r="E39">
        <v>258.73998999999998</v>
      </c>
      <c r="F39">
        <v>256.64950599999997</v>
      </c>
      <c r="G39">
        <v>23209300</v>
      </c>
    </row>
    <row r="40" spans="1:7" x14ac:dyDescent="0.2">
      <c r="A40" s="1">
        <v>44306</v>
      </c>
      <c r="B40">
        <v>257.82000699999998</v>
      </c>
      <c r="C40">
        <v>260.20001200000002</v>
      </c>
      <c r="D40">
        <v>256.83999599999999</v>
      </c>
      <c r="E40">
        <v>258.26001000000002</v>
      </c>
      <c r="F40">
        <v>256.17336999999998</v>
      </c>
      <c r="G40">
        <v>19722900</v>
      </c>
    </row>
    <row r="41" spans="1:7" x14ac:dyDescent="0.2">
      <c r="A41" s="1">
        <v>44307</v>
      </c>
      <c r="B41">
        <v>258.94000199999999</v>
      </c>
      <c r="C41">
        <v>260.67999300000002</v>
      </c>
      <c r="D41">
        <v>257.25</v>
      </c>
      <c r="E41">
        <v>260.57998700000002</v>
      </c>
      <c r="F41">
        <v>258.47460899999999</v>
      </c>
      <c r="G41">
        <v>24030400</v>
      </c>
    </row>
    <row r="42" spans="1:7" x14ac:dyDescent="0.2">
      <c r="A42" s="1">
        <v>44308</v>
      </c>
      <c r="B42">
        <v>260.209991</v>
      </c>
      <c r="C42">
        <v>261.77999899999998</v>
      </c>
      <c r="D42">
        <v>255.63999899999999</v>
      </c>
      <c r="E42">
        <v>257.17001299999998</v>
      </c>
      <c r="F42">
        <v>255.09214800000001</v>
      </c>
      <c r="G42">
        <v>25606200</v>
      </c>
    </row>
    <row r="43" spans="1:7" x14ac:dyDescent="0.2">
      <c r="A43" s="1">
        <v>44309</v>
      </c>
      <c r="B43">
        <v>257.88000499999998</v>
      </c>
      <c r="C43">
        <v>261.51001000000002</v>
      </c>
      <c r="D43">
        <v>257.26998900000001</v>
      </c>
      <c r="E43">
        <v>261.14999399999999</v>
      </c>
      <c r="F43">
        <v>259.040009</v>
      </c>
      <c r="G43">
        <v>21462600</v>
      </c>
    </row>
    <row r="44" spans="1:7" x14ac:dyDescent="0.2">
      <c r="A44" s="1">
        <v>44312</v>
      </c>
      <c r="B44">
        <v>261.66000400000001</v>
      </c>
      <c r="C44">
        <v>262.44000199999999</v>
      </c>
      <c r="D44">
        <v>260.17001299999998</v>
      </c>
      <c r="E44">
        <v>261.54998799999998</v>
      </c>
      <c r="F44">
        <v>259.43676799999997</v>
      </c>
      <c r="G44">
        <v>19763300</v>
      </c>
    </row>
    <row r="45" spans="1:7" x14ac:dyDescent="0.2">
      <c r="A45" s="1">
        <v>44313</v>
      </c>
      <c r="B45">
        <v>261.57998700000002</v>
      </c>
      <c r="C45">
        <v>263.19000199999999</v>
      </c>
      <c r="D45">
        <v>260.11999500000002</v>
      </c>
      <c r="E45">
        <v>261.97000100000002</v>
      </c>
      <c r="F45">
        <v>259.85342400000002</v>
      </c>
      <c r="G45">
        <v>31014200</v>
      </c>
    </row>
    <row r="46" spans="1:7" x14ac:dyDescent="0.2">
      <c r="A46" s="1">
        <v>44314</v>
      </c>
      <c r="B46">
        <v>256.07998700000002</v>
      </c>
      <c r="C46">
        <v>256.540009</v>
      </c>
      <c r="D46">
        <v>252.949997</v>
      </c>
      <c r="E46">
        <v>254.55999800000001</v>
      </c>
      <c r="F46">
        <v>252.50325000000001</v>
      </c>
      <c r="G46">
        <v>46903100</v>
      </c>
    </row>
    <row r="47" spans="1:7" x14ac:dyDescent="0.2">
      <c r="A47" s="1">
        <v>44315</v>
      </c>
      <c r="B47">
        <v>255.46000699999999</v>
      </c>
      <c r="C47">
        <v>256.10000600000001</v>
      </c>
      <c r="D47">
        <v>249</v>
      </c>
      <c r="E47">
        <v>252.509995</v>
      </c>
      <c r="F47">
        <v>250.46980300000001</v>
      </c>
      <c r="G47">
        <v>40589000</v>
      </c>
    </row>
    <row r="48" spans="1:7" x14ac:dyDescent="0.2">
      <c r="A48" s="1">
        <v>44316</v>
      </c>
      <c r="B48">
        <v>249.740005</v>
      </c>
      <c r="C48">
        <v>253.08000200000001</v>
      </c>
      <c r="D48">
        <v>249.60000600000001</v>
      </c>
      <c r="E48">
        <v>252.179993</v>
      </c>
      <c r="F48">
        <v>250.142471</v>
      </c>
      <c r="G48">
        <v>30945100</v>
      </c>
    </row>
    <row r="49" spans="1:7" x14ac:dyDescent="0.2">
      <c r="A49" s="1">
        <v>44319</v>
      </c>
      <c r="B49">
        <v>253.39999399999999</v>
      </c>
      <c r="C49">
        <v>254.35000600000001</v>
      </c>
      <c r="D49">
        <v>251.11999499999999</v>
      </c>
      <c r="E49">
        <v>251.86000100000001</v>
      </c>
      <c r="F49">
        <v>249.82505800000001</v>
      </c>
      <c r="G49">
        <v>19626600</v>
      </c>
    </row>
    <row r="50" spans="1:7" x14ac:dyDescent="0.2">
      <c r="A50" s="1">
        <v>44320</v>
      </c>
      <c r="B50">
        <v>250.970001</v>
      </c>
      <c r="C50">
        <v>251.21000699999999</v>
      </c>
      <c r="D50">
        <v>245.759995</v>
      </c>
      <c r="E50">
        <v>247.78999300000001</v>
      </c>
      <c r="F50">
        <v>245.78793300000001</v>
      </c>
      <c r="G50">
        <v>32756100</v>
      </c>
    </row>
    <row r="51" spans="1:7" x14ac:dyDescent="0.2">
      <c r="A51" s="1">
        <v>44321</v>
      </c>
      <c r="B51">
        <v>249.05999800000001</v>
      </c>
      <c r="C51">
        <v>249.5</v>
      </c>
      <c r="D51">
        <v>245.820007</v>
      </c>
      <c r="E51">
        <v>246.470001</v>
      </c>
      <c r="F51">
        <v>244.478622</v>
      </c>
      <c r="G51">
        <v>21901300</v>
      </c>
    </row>
    <row r="52" spans="1:7" x14ac:dyDescent="0.2">
      <c r="A52" s="1">
        <v>44322</v>
      </c>
      <c r="B52">
        <v>246.449997</v>
      </c>
      <c r="C52">
        <v>249.86000100000001</v>
      </c>
      <c r="D52">
        <v>244.69000199999999</v>
      </c>
      <c r="E52">
        <v>249.729996</v>
      </c>
      <c r="F52">
        <v>247.712265</v>
      </c>
      <c r="G52">
        <v>26491100</v>
      </c>
    </row>
    <row r="53" spans="1:7" x14ac:dyDescent="0.2">
      <c r="A53" s="1">
        <v>44323</v>
      </c>
      <c r="B53">
        <v>252.14999399999999</v>
      </c>
      <c r="C53">
        <v>254.300003</v>
      </c>
      <c r="D53">
        <v>251.16999799999999</v>
      </c>
      <c r="E53">
        <v>252.46000699999999</v>
      </c>
      <c r="F53">
        <v>250.42022700000001</v>
      </c>
      <c r="G53">
        <v>27032900</v>
      </c>
    </row>
    <row r="54" spans="1:7" x14ac:dyDescent="0.2">
      <c r="A54" s="1">
        <v>44326</v>
      </c>
      <c r="B54">
        <v>250.86999499999999</v>
      </c>
      <c r="C54">
        <v>251.729996</v>
      </c>
      <c r="D54">
        <v>247.11999499999999</v>
      </c>
      <c r="E54">
        <v>247.179993</v>
      </c>
      <c r="F54">
        <v>245.182861</v>
      </c>
      <c r="G54">
        <v>29299900</v>
      </c>
    </row>
    <row r="55" spans="1:7" x14ac:dyDescent="0.2">
      <c r="A55" s="1">
        <v>44327</v>
      </c>
      <c r="B55">
        <v>244.550003</v>
      </c>
      <c r="C55">
        <v>246.60000600000001</v>
      </c>
      <c r="D55">
        <v>242.570007</v>
      </c>
      <c r="E55">
        <v>246.229996</v>
      </c>
      <c r="F55">
        <v>244.240555</v>
      </c>
      <c r="G55">
        <v>33641600</v>
      </c>
    </row>
    <row r="56" spans="1:7" x14ac:dyDescent="0.2">
      <c r="A56" s="1">
        <v>44328</v>
      </c>
      <c r="B56">
        <v>242.16999799999999</v>
      </c>
      <c r="C56">
        <v>244.38000500000001</v>
      </c>
      <c r="D56">
        <v>238.070007</v>
      </c>
      <c r="E56">
        <v>239</v>
      </c>
      <c r="F56">
        <v>237.06897000000001</v>
      </c>
      <c r="G56">
        <v>36684400</v>
      </c>
    </row>
    <row r="57" spans="1:7" x14ac:dyDescent="0.2">
      <c r="A57" s="1">
        <v>44329</v>
      </c>
      <c r="B57">
        <v>241.800003</v>
      </c>
      <c r="C57">
        <v>245.60000600000001</v>
      </c>
      <c r="D57">
        <v>241.41999799999999</v>
      </c>
      <c r="E57">
        <v>243.029999</v>
      </c>
      <c r="F57">
        <v>241.066406</v>
      </c>
      <c r="G57">
        <v>29624300</v>
      </c>
    </row>
    <row r="58" spans="1:7" x14ac:dyDescent="0.2">
      <c r="A58" s="1">
        <v>44330</v>
      </c>
      <c r="B58">
        <v>245.58000200000001</v>
      </c>
      <c r="C58">
        <v>249.179993</v>
      </c>
      <c r="D58">
        <v>245.490005</v>
      </c>
      <c r="E58">
        <v>248.14999399999999</v>
      </c>
      <c r="F58">
        <v>246.14503500000001</v>
      </c>
      <c r="G58">
        <v>23901100</v>
      </c>
    </row>
    <row r="59" spans="1:7" x14ac:dyDescent="0.2">
      <c r="A59" s="1">
        <v>44333</v>
      </c>
      <c r="B59">
        <v>246.550003</v>
      </c>
      <c r="C59">
        <v>246.58999600000001</v>
      </c>
      <c r="D59">
        <v>243.520004</v>
      </c>
      <c r="E59">
        <v>245.179993</v>
      </c>
      <c r="F59">
        <v>243.19903600000001</v>
      </c>
      <c r="G59">
        <v>24970200</v>
      </c>
    </row>
    <row r="60" spans="1:7" x14ac:dyDescent="0.2">
      <c r="A60" s="1">
        <v>44334</v>
      </c>
      <c r="B60">
        <v>246.270004</v>
      </c>
      <c r="C60">
        <v>246.41000399999999</v>
      </c>
      <c r="D60">
        <v>242.89999399999999</v>
      </c>
      <c r="E60">
        <v>243.08000200000001</v>
      </c>
      <c r="F60">
        <v>241.11601300000001</v>
      </c>
      <c r="G60">
        <v>20168000</v>
      </c>
    </row>
    <row r="61" spans="1:7" x14ac:dyDescent="0.2">
      <c r="A61" s="1">
        <v>44335</v>
      </c>
      <c r="B61">
        <v>239.30999800000001</v>
      </c>
      <c r="C61">
        <v>243.229996</v>
      </c>
      <c r="D61">
        <v>238.60000600000001</v>
      </c>
      <c r="E61">
        <v>243.11999499999999</v>
      </c>
      <c r="F61">
        <v>241.71253999999999</v>
      </c>
      <c r="G61">
        <v>25739800</v>
      </c>
    </row>
    <row r="62" spans="1:7" x14ac:dyDescent="0.2">
      <c r="A62" s="1">
        <v>44336</v>
      </c>
      <c r="B62">
        <v>243.96000699999999</v>
      </c>
      <c r="C62">
        <v>247.949997</v>
      </c>
      <c r="D62">
        <v>243.86000100000001</v>
      </c>
      <c r="E62">
        <v>246.479996</v>
      </c>
      <c r="F62">
        <v>245.05308500000001</v>
      </c>
      <c r="G62">
        <v>21800700</v>
      </c>
    </row>
    <row r="63" spans="1:7" x14ac:dyDescent="0.2">
      <c r="A63" s="1">
        <v>44337</v>
      </c>
      <c r="B63">
        <v>247.570007</v>
      </c>
      <c r="C63">
        <v>248.33000200000001</v>
      </c>
      <c r="D63">
        <v>244.740005</v>
      </c>
      <c r="E63">
        <v>245.16999799999999</v>
      </c>
      <c r="F63">
        <v>243.75065599999999</v>
      </c>
      <c r="G63">
        <v>21863100</v>
      </c>
    </row>
    <row r="64" spans="1:7" x14ac:dyDescent="0.2">
      <c r="A64" s="1">
        <v>44340</v>
      </c>
      <c r="B64">
        <v>247.78999300000001</v>
      </c>
      <c r="C64">
        <v>251.16000399999999</v>
      </c>
      <c r="D64">
        <v>247.509995</v>
      </c>
      <c r="E64">
        <v>250.779999</v>
      </c>
      <c r="F64">
        <v>249.32820100000001</v>
      </c>
      <c r="G64">
        <v>21411500</v>
      </c>
    </row>
    <row r="65" spans="1:7" x14ac:dyDescent="0.2">
      <c r="A65" s="1">
        <v>44341</v>
      </c>
      <c r="B65">
        <v>251.770004</v>
      </c>
      <c r="C65">
        <v>252.75</v>
      </c>
      <c r="D65">
        <v>250.820007</v>
      </c>
      <c r="E65">
        <v>251.720001</v>
      </c>
      <c r="F65">
        <v>250.262756</v>
      </c>
      <c r="G65">
        <v>17704300</v>
      </c>
    </row>
    <row r="66" spans="1:7" x14ac:dyDescent="0.2">
      <c r="A66" s="1">
        <v>44342</v>
      </c>
      <c r="B66">
        <v>251.429993</v>
      </c>
      <c r="C66">
        <v>252.94000199999999</v>
      </c>
      <c r="D66">
        <v>250.75</v>
      </c>
      <c r="E66">
        <v>251.490005</v>
      </c>
      <c r="F66">
        <v>250.034088</v>
      </c>
      <c r="G66">
        <v>17771600</v>
      </c>
    </row>
    <row r="67" spans="1:7" x14ac:dyDescent="0.2">
      <c r="A67" s="1">
        <v>44343</v>
      </c>
      <c r="B67">
        <v>251.16999799999999</v>
      </c>
      <c r="C67">
        <v>251.479996</v>
      </c>
      <c r="D67">
        <v>249.25</v>
      </c>
      <c r="E67">
        <v>249.30999800000001</v>
      </c>
      <c r="F67">
        <v>247.866714</v>
      </c>
      <c r="G67">
        <v>24426200</v>
      </c>
    </row>
    <row r="68" spans="1:7" x14ac:dyDescent="0.2">
      <c r="A68" s="1">
        <v>44344</v>
      </c>
      <c r="B68">
        <v>251</v>
      </c>
      <c r="C68">
        <v>252.08000200000001</v>
      </c>
      <c r="D68">
        <v>249.55999800000001</v>
      </c>
      <c r="E68">
        <v>249.679993</v>
      </c>
      <c r="F68">
        <v>248.234543</v>
      </c>
      <c r="G68">
        <v>18270200</v>
      </c>
    </row>
    <row r="69" spans="1:7" x14ac:dyDescent="0.2">
      <c r="A69" s="1">
        <v>44348</v>
      </c>
      <c r="B69">
        <v>251.229996</v>
      </c>
      <c r="C69">
        <v>251.28999300000001</v>
      </c>
      <c r="D69">
        <v>246.96000699999999</v>
      </c>
      <c r="E69">
        <v>247.39999399999999</v>
      </c>
      <c r="F69">
        <v>245.967758</v>
      </c>
      <c r="G69">
        <v>23213300</v>
      </c>
    </row>
    <row r="70" spans="1:7" x14ac:dyDescent="0.2">
      <c r="A70" s="1">
        <v>44349</v>
      </c>
      <c r="B70">
        <v>248.13000500000001</v>
      </c>
      <c r="C70">
        <v>249.270004</v>
      </c>
      <c r="D70">
        <v>245.83999600000001</v>
      </c>
      <c r="E70">
        <v>247.300003</v>
      </c>
      <c r="F70">
        <v>245.86833200000001</v>
      </c>
      <c r="G70">
        <v>19406700</v>
      </c>
    </row>
    <row r="71" spans="1:7" x14ac:dyDescent="0.2">
      <c r="A71" s="1">
        <v>44350</v>
      </c>
      <c r="B71">
        <v>245.220001</v>
      </c>
      <c r="C71">
        <v>246.33999600000001</v>
      </c>
      <c r="D71">
        <v>243</v>
      </c>
      <c r="E71">
        <v>245.71000699999999</v>
      </c>
      <c r="F71">
        <v>244.287567</v>
      </c>
      <c r="G71">
        <v>25307700</v>
      </c>
    </row>
    <row r="72" spans="1:7" x14ac:dyDescent="0.2">
      <c r="A72" s="1">
        <v>44351</v>
      </c>
      <c r="B72">
        <v>247.759995</v>
      </c>
      <c r="C72">
        <v>251.64999399999999</v>
      </c>
      <c r="D72">
        <v>247.509995</v>
      </c>
      <c r="E72">
        <v>250.78999300000001</v>
      </c>
      <c r="F72">
        <v>249.33812</v>
      </c>
      <c r="G72">
        <v>25281100</v>
      </c>
    </row>
    <row r="73" spans="1:7" x14ac:dyDescent="0.2">
      <c r="A73" s="1">
        <v>44354</v>
      </c>
      <c r="B73">
        <v>249.979996</v>
      </c>
      <c r="C73">
        <v>254.08999600000001</v>
      </c>
      <c r="D73">
        <v>249.80999800000001</v>
      </c>
      <c r="E73">
        <v>253.80999800000001</v>
      </c>
      <c r="F73">
        <v>252.34063699999999</v>
      </c>
      <c r="G73">
        <v>23079200</v>
      </c>
    </row>
    <row r="74" spans="1:7" x14ac:dyDescent="0.2">
      <c r="A74" s="1">
        <v>44355</v>
      </c>
      <c r="B74">
        <v>255.16000399999999</v>
      </c>
      <c r="C74">
        <v>256.01001000000002</v>
      </c>
      <c r="D74">
        <v>252.509995</v>
      </c>
      <c r="E74">
        <v>252.570007</v>
      </c>
      <c r="F74">
        <v>251.107834</v>
      </c>
      <c r="G74">
        <v>22455000</v>
      </c>
    </row>
    <row r="75" spans="1:7" x14ac:dyDescent="0.2">
      <c r="A75" s="1">
        <v>44356</v>
      </c>
      <c r="B75">
        <v>253.80999800000001</v>
      </c>
      <c r="C75">
        <v>255.529999</v>
      </c>
      <c r="D75">
        <v>253.21000699999999</v>
      </c>
      <c r="E75">
        <v>253.58999600000001</v>
      </c>
      <c r="F75">
        <v>252.12191799999999</v>
      </c>
      <c r="G75">
        <v>17937600</v>
      </c>
    </row>
    <row r="76" spans="1:7" x14ac:dyDescent="0.2">
      <c r="A76" s="1">
        <v>44357</v>
      </c>
      <c r="B76">
        <v>254.28999300000001</v>
      </c>
      <c r="C76">
        <v>257.459991</v>
      </c>
      <c r="D76">
        <v>253.66999799999999</v>
      </c>
      <c r="E76">
        <v>257.23998999999998</v>
      </c>
      <c r="F76">
        <v>255.750778</v>
      </c>
      <c r="G76">
        <v>24563600</v>
      </c>
    </row>
    <row r="77" spans="1:7" x14ac:dyDescent="0.2">
      <c r="A77" s="1">
        <v>44358</v>
      </c>
      <c r="B77">
        <v>257.98998999999998</v>
      </c>
      <c r="C77">
        <v>258.48998999999998</v>
      </c>
      <c r="D77">
        <v>256.60998499999999</v>
      </c>
      <c r="E77">
        <v>257.89001500000001</v>
      </c>
      <c r="F77">
        <v>256.39703400000002</v>
      </c>
      <c r="G77">
        <v>18999700</v>
      </c>
    </row>
    <row r="78" spans="1:7" x14ac:dyDescent="0.2">
      <c r="A78" s="1">
        <v>44361</v>
      </c>
      <c r="B78">
        <v>257.89999399999999</v>
      </c>
      <c r="C78">
        <v>259.95001200000002</v>
      </c>
      <c r="D78">
        <v>256.79998799999998</v>
      </c>
      <c r="E78">
        <v>259.89001500000001</v>
      </c>
      <c r="F78">
        <v>258.385468</v>
      </c>
      <c r="G78">
        <v>19150500</v>
      </c>
    </row>
    <row r="79" spans="1:7" x14ac:dyDescent="0.2">
      <c r="A79" s="1">
        <v>44362</v>
      </c>
      <c r="B79">
        <v>259.76998900000001</v>
      </c>
      <c r="C79">
        <v>259.98998999999998</v>
      </c>
      <c r="D79">
        <v>257.67999300000002</v>
      </c>
      <c r="E79">
        <v>258.35998499999999</v>
      </c>
      <c r="F79">
        <v>256.86428799999999</v>
      </c>
      <c r="G79">
        <v>18038900</v>
      </c>
    </row>
    <row r="80" spans="1:7" x14ac:dyDescent="0.2">
      <c r="A80" s="1">
        <v>44363</v>
      </c>
      <c r="B80">
        <v>259.39999399999999</v>
      </c>
      <c r="C80">
        <v>260.57998700000002</v>
      </c>
      <c r="D80">
        <v>254.41999799999999</v>
      </c>
      <c r="E80">
        <v>257.38000499999998</v>
      </c>
      <c r="F80">
        <v>255.889984</v>
      </c>
      <c r="G80">
        <v>27220000</v>
      </c>
    </row>
    <row r="81" spans="1:7" x14ac:dyDescent="0.2">
      <c r="A81" s="1">
        <v>44364</v>
      </c>
      <c r="B81">
        <v>256.07000699999998</v>
      </c>
      <c r="C81">
        <v>261.75</v>
      </c>
      <c r="D81">
        <v>256.01001000000002</v>
      </c>
      <c r="E81">
        <v>260.89999399999999</v>
      </c>
      <c r="F81">
        <v>259.38961799999998</v>
      </c>
      <c r="G81">
        <v>27565500</v>
      </c>
    </row>
    <row r="82" spans="1:7" x14ac:dyDescent="0.2">
      <c r="A82" s="1">
        <v>44365</v>
      </c>
      <c r="B82">
        <v>259.63000499999998</v>
      </c>
      <c r="C82">
        <v>262.29998799999998</v>
      </c>
      <c r="D82">
        <v>258.75</v>
      </c>
      <c r="E82">
        <v>259.42999300000002</v>
      </c>
      <c r="F82">
        <v>257.92810100000003</v>
      </c>
      <c r="G82">
        <v>37202200</v>
      </c>
    </row>
    <row r="83" spans="1:7" x14ac:dyDescent="0.2">
      <c r="A83" s="1">
        <v>44368</v>
      </c>
      <c r="B83">
        <v>259.82000699999998</v>
      </c>
      <c r="C83">
        <v>263.51998900000001</v>
      </c>
      <c r="D83">
        <v>257.92001299999998</v>
      </c>
      <c r="E83">
        <v>262.63000499999998</v>
      </c>
      <c r="F83">
        <v>261.10958900000003</v>
      </c>
      <c r="G83">
        <v>26696100</v>
      </c>
    </row>
    <row r="84" spans="1:7" x14ac:dyDescent="0.2">
      <c r="A84" s="1">
        <v>44369</v>
      </c>
      <c r="B84">
        <v>262.72000100000002</v>
      </c>
      <c r="C84">
        <v>265.790009</v>
      </c>
      <c r="D84">
        <v>262.39999399999999</v>
      </c>
      <c r="E84">
        <v>265.51001000000002</v>
      </c>
      <c r="F84">
        <v>263.97293100000002</v>
      </c>
      <c r="G84">
        <v>24694100</v>
      </c>
    </row>
    <row r="85" spans="1:7" x14ac:dyDescent="0.2">
      <c r="A85" s="1">
        <v>44370</v>
      </c>
      <c r="B85">
        <v>265.98998999999998</v>
      </c>
      <c r="C85">
        <v>266.82998700000002</v>
      </c>
      <c r="D85">
        <v>264.42999300000002</v>
      </c>
      <c r="E85">
        <v>265.26998900000001</v>
      </c>
      <c r="F85">
        <v>263.73431399999998</v>
      </c>
      <c r="G85">
        <v>19518700</v>
      </c>
    </row>
    <row r="86" spans="1:7" x14ac:dyDescent="0.2">
      <c r="A86" s="1">
        <v>44371</v>
      </c>
      <c r="B86">
        <v>266.16000400000001</v>
      </c>
      <c r="C86">
        <v>267.85000600000001</v>
      </c>
      <c r="D86">
        <v>265.47000100000002</v>
      </c>
      <c r="E86">
        <v>266.69000199999999</v>
      </c>
      <c r="F86">
        <v>265.14608800000002</v>
      </c>
      <c r="G86">
        <v>21446900</v>
      </c>
    </row>
    <row r="87" spans="1:7" x14ac:dyDescent="0.2">
      <c r="A87" s="1">
        <v>44372</v>
      </c>
      <c r="B87">
        <v>266.23001099999999</v>
      </c>
      <c r="C87">
        <v>267.25</v>
      </c>
      <c r="D87">
        <v>264.76001000000002</v>
      </c>
      <c r="E87">
        <v>265.01998900000001</v>
      </c>
      <c r="F87">
        <v>263.48577899999998</v>
      </c>
      <c r="G87">
        <v>25611100</v>
      </c>
    </row>
    <row r="88" spans="1:7" x14ac:dyDescent="0.2">
      <c r="A88" s="1">
        <v>44375</v>
      </c>
      <c r="B88">
        <v>266.19000199999999</v>
      </c>
      <c r="C88">
        <v>268.89999399999999</v>
      </c>
      <c r="D88">
        <v>265.91000400000001</v>
      </c>
      <c r="E88">
        <v>268.72000100000002</v>
      </c>
      <c r="F88">
        <v>267.16433699999999</v>
      </c>
      <c r="G88">
        <v>19590000</v>
      </c>
    </row>
    <row r="89" spans="1:7" x14ac:dyDescent="0.2">
      <c r="A89" s="1">
        <v>44376</v>
      </c>
      <c r="B89">
        <v>268.86999500000002</v>
      </c>
      <c r="C89">
        <v>271.64999399999999</v>
      </c>
      <c r="D89">
        <v>267.98001099999999</v>
      </c>
      <c r="E89">
        <v>271.39999399999999</v>
      </c>
      <c r="F89">
        <v>269.82879600000001</v>
      </c>
      <c r="G89">
        <v>19937800</v>
      </c>
    </row>
    <row r="90" spans="1:7" x14ac:dyDescent="0.2">
      <c r="A90" s="1">
        <v>44377</v>
      </c>
      <c r="B90">
        <v>270.69000199999999</v>
      </c>
      <c r="C90">
        <v>271.35998499999999</v>
      </c>
      <c r="D90">
        <v>269.60000600000001</v>
      </c>
      <c r="E90">
        <v>270.89999399999999</v>
      </c>
      <c r="F90">
        <v>269.33169600000002</v>
      </c>
      <c r="G90">
        <v>21656500</v>
      </c>
    </row>
    <row r="91" spans="1:7" x14ac:dyDescent="0.2">
      <c r="A91" s="1">
        <v>44378</v>
      </c>
      <c r="B91">
        <v>269.60998499999999</v>
      </c>
      <c r="C91">
        <v>271.83999599999999</v>
      </c>
      <c r="D91">
        <v>269.60000600000001</v>
      </c>
      <c r="E91">
        <v>271.60000600000001</v>
      </c>
      <c r="F91">
        <v>270.02767899999998</v>
      </c>
      <c r="G91">
        <v>16725300</v>
      </c>
    </row>
    <row r="92" spans="1:7" x14ac:dyDescent="0.2">
      <c r="A92" s="1">
        <v>44379</v>
      </c>
      <c r="B92">
        <v>272.82000699999998</v>
      </c>
      <c r="C92">
        <v>278</v>
      </c>
      <c r="D92">
        <v>272.5</v>
      </c>
      <c r="E92">
        <v>277.64999399999999</v>
      </c>
      <c r="F92">
        <v>276.04263300000002</v>
      </c>
      <c r="G92">
        <v>26458000</v>
      </c>
    </row>
    <row r="93" spans="1:7" x14ac:dyDescent="0.2">
      <c r="A93" s="1">
        <v>44383</v>
      </c>
      <c r="B93">
        <v>278.02999899999998</v>
      </c>
      <c r="C93">
        <v>279.36999500000002</v>
      </c>
      <c r="D93">
        <v>274.29998799999998</v>
      </c>
      <c r="E93">
        <v>277.66000400000001</v>
      </c>
      <c r="F93">
        <v>276.05258199999997</v>
      </c>
      <c r="G93">
        <v>31565600</v>
      </c>
    </row>
    <row r="94" spans="1:7" x14ac:dyDescent="0.2">
      <c r="A94" s="1">
        <v>44384</v>
      </c>
      <c r="B94">
        <v>279.39999399999999</v>
      </c>
      <c r="C94">
        <v>280.69000199999999</v>
      </c>
      <c r="D94">
        <v>277.14999399999999</v>
      </c>
      <c r="E94">
        <v>279.92999300000002</v>
      </c>
      <c r="F94">
        <v>278.30941799999999</v>
      </c>
      <c r="G94">
        <v>23260000</v>
      </c>
    </row>
    <row r="95" spans="1:7" x14ac:dyDescent="0.2">
      <c r="A95" s="1">
        <v>44385</v>
      </c>
      <c r="B95">
        <v>276.89999399999999</v>
      </c>
      <c r="C95">
        <v>278.73001099999999</v>
      </c>
      <c r="D95">
        <v>274.86999500000002</v>
      </c>
      <c r="E95">
        <v>277.42001299999998</v>
      </c>
      <c r="F95">
        <v>275.813965</v>
      </c>
      <c r="G95">
        <v>24618600</v>
      </c>
    </row>
    <row r="96" spans="1:7" x14ac:dyDescent="0.2">
      <c r="A96" s="1">
        <v>44386</v>
      </c>
      <c r="B96">
        <v>275.72000100000002</v>
      </c>
      <c r="C96">
        <v>278.04998799999998</v>
      </c>
      <c r="D96">
        <v>275.32000699999998</v>
      </c>
      <c r="E96">
        <v>277.94000199999999</v>
      </c>
      <c r="F96">
        <v>276.330963</v>
      </c>
      <c r="G96">
        <v>23916700</v>
      </c>
    </row>
    <row r="97" spans="1:7" x14ac:dyDescent="0.2">
      <c r="A97" s="1">
        <v>44389</v>
      </c>
      <c r="B97">
        <v>279.16000400000001</v>
      </c>
      <c r="C97">
        <v>279.76998900000001</v>
      </c>
      <c r="D97">
        <v>276.57998700000002</v>
      </c>
      <c r="E97">
        <v>277.32000699999998</v>
      </c>
      <c r="F97">
        <v>275.71456899999998</v>
      </c>
      <c r="G97">
        <v>18931700</v>
      </c>
    </row>
    <row r="98" spans="1:7" x14ac:dyDescent="0.2">
      <c r="A98" s="1">
        <v>44390</v>
      </c>
      <c r="B98">
        <v>277.51998900000001</v>
      </c>
      <c r="C98">
        <v>282.85000600000001</v>
      </c>
      <c r="D98">
        <v>277.39001500000001</v>
      </c>
      <c r="E98">
        <v>280.98001099999999</v>
      </c>
      <c r="F98">
        <v>279.35333300000002</v>
      </c>
      <c r="G98">
        <v>26120100</v>
      </c>
    </row>
    <row r="99" spans="1:7" x14ac:dyDescent="0.2">
      <c r="A99" s="1">
        <v>44391</v>
      </c>
      <c r="B99">
        <v>282.35000600000001</v>
      </c>
      <c r="C99">
        <v>283.66000400000001</v>
      </c>
      <c r="D99">
        <v>280.54998799999998</v>
      </c>
      <c r="E99">
        <v>282.51001000000002</v>
      </c>
      <c r="F99">
        <v>280.87451199999998</v>
      </c>
      <c r="G99">
        <v>23113700</v>
      </c>
    </row>
    <row r="100" spans="1:7" x14ac:dyDescent="0.2">
      <c r="A100" s="1">
        <v>44392</v>
      </c>
      <c r="B100">
        <v>282</v>
      </c>
      <c r="C100">
        <v>282.51001000000002</v>
      </c>
      <c r="D100">
        <v>279.82998700000002</v>
      </c>
      <c r="E100">
        <v>281.02999899999998</v>
      </c>
      <c r="F100">
        <v>279.40304600000002</v>
      </c>
      <c r="G100">
        <v>22604200</v>
      </c>
    </row>
    <row r="101" spans="1:7" x14ac:dyDescent="0.2">
      <c r="A101" s="1">
        <v>44393</v>
      </c>
      <c r="B101">
        <v>282.07000699999998</v>
      </c>
      <c r="C101">
        <v>284.10000600000001</v>
      </c>
      <c r="D101">
        <v>279.459991</v>
      </c>
      <c r="E101">
        <v>280.75</v>
      </c>
      <c r="F101">
        <v>279.12469499999997</v>
      </c>
      <c r="G101">
        <v>26186800</v>
      </c>
    </row>
    <row r="102" spans="1:7" x14ac:dyDescent="0.2">
      <c r="A102" s="1">
        <v>44396</v>
      </c>
      <c r="B102">
        <v>278.92999300000002</v>
      </c>
      <c r="C102">
        <v>280.36999500000002</v>
      </c>
      <c r="D102">
        <v>274.45001200000002</v>
      </c>
      <c r="E102">
        <v>277.01001000000002</v>
      </c>
      <c r="F102">
        <v>275.406342</v>
      </c>
      <c r="G102">
        <v>32935600</v>
      </c>
    </row>
    <row r="103" spans="1:7" x14ac:dyDescent="0.2">
      <c r="A103" s="1">
        <v>44397</v>
      </c>
      <c r="B103">
        <v>278.02999899999998</v>
      </c>
      <c r="C103">
        <v>280.97000100000002</v>
      </c>
      <c r="D103">
        <v>276.26001000000002</v>
      </c>
      <c r="E103">
        <v>279.32000699999998</v>
      </c>
      <c r="F103">
        <v>277.70294200000001</v>
      </c>
      <c r="G103">
        <v>26259700</v>
      </c>
    </row>
    <row r="104" spans="1:7" x14ac:dyDescent="0.2">
      <c r="A104" s="1">
        <v>44398</v>
      </c>
      <c r="B104">
        <v>278.89999399999999</v>
      </c>
      <c r="C104">
        <v>281.51998900000001</v>
      </c>
      <c r="D104">
        <v>277.290009</v>
      </c>
      <c r="E104">
        <v>281.39999399999999</v>
      </c>
      <c r="F104">
        <v>279.77090500000003</v>
      </c>
      <c r="G104">
        <v>24364300</v>
      </c>
    </row>
    <row r="105" spans="1:7" x14ac:dyDescent="0.2">
      <c r="A105" s="1">
        <v>44399</v>
      </c>
      <c r="B105">
        <v>283.83999599999999</v>
      </c>
      <c r="C105">
        <v>286.42001299999998</v>
      </c>
      <c r="D105">
        <v>283.42001299999998</v>
      </c>
      <c r="E105">
        <v>286.14001500000001</v>
      </c>
      <c r="F105">
        <v>284.48349000000002</v>
      </c>
      <c r="G105">
        <v>23384100</v>
      </c>
    </row>
    <row r="106" spans="1:7" x14ac:dyDescent="0.2">
      <c r="A106" s="1">
        <v>44400</v>
      </c>
      <c r="B106">
        <v>287.36999500000002</v>
      </c>
      <c r="C106">
        <v>289.98998999999998</v>
      </c>
      <c r="D106">
        <v>286.5</v>
      </c>
      <c r="E106">
        <v>289.67001299999998</v>
      </c>
      <c r="F106">
        <v>287.993042</v>
      </c>
      <c r="G106">
        <v>22768100</v>
      </c>
    </row>
    <row r="107" spans="1:7" x14ac:dyDescent="0.2">
      <c r="A107" s="1">
        <v>44403</v>
      </c>
      <c r="B107">
        <v>289</v>
      </c>
      <c r="C107">
        <v>289.69000199999999</v>
      </c>
      <c r="D107">
        <v>286.64001500000001</v>
      </c>
      <c r="E107">
        <v>289.04998799999998</v>
      </c>
      <c r="F107">
        <v>287.37661700000001</v>
      </c>
      <c r="G107">
        <v>23176100</v>
      </c>
    </row>
    <row r="108" spans="1:7" x14ac:dyDescent="0.2">
      <c r="A108" s="1">
        <v>44404</v>
      </c>
      <c r="B108">
        <v>289.42999300000002</v>
      </c>
      <c r="C108">
        <v>289.57998700000002</v>
      </c>
      <c r="D108">
        <v>282.95001200000002</v>
      </c>
      <c r="E108">
        <v>286.540009</v>
      </c>
      <c r="F108">
        <v>284.88116500000001</v>
      </c>
      <c r="G108">
        <v>33604100</v>
      </c>
    </row>
    <row r="109" spans="1:7" x14ac:dyDescent="0.2">
      <c r="A109" s="1">
        <v>44405</v>
      </c>
      <c r="B109">
        <v>288.98998999999998</v>
      </c>
      <c r="C109">
        <v>290.14999399999999</v>
      </c>
      <c r="D109">
        <v>283.82998700000002</v>
      </c>
      <c r="E109">
        <v>286.22000100000002</v>
      </c>
      <c r="F109">
        <v>284.56298800000002</v>
      </c>
      <c r="G109">
        <v>33566900</v>
      </c>
    </row>
    <row r="110" spans="1:7" x14ac:dyDescent="0.2">
      <c r="A110" s="1">
        <v>44406</v>
      </c>
      <c r="B110">
        <v>286.23998999999998</v>
      </c>
      <c r="C110">
        <v>288.61999500000002</v>
      </c>
      <c r="D110">
        <v>286.07998700000002</v>
      </c>
      <c r="E110">
        <v>286.5</v>
      </c>
      <c r="F110">
        <v>284.841431</v>
      </c>
      <c r="G110">
        <v>18168300</v>
      </c>
    </row>
    <row r="111" spans="1:7" x14ac:dyDescent="0.2">
      <c r="A111" s="1">
        <v>44407</v>
      </c>
      <c r="B111">
        <v>285.17001299999998</v>
      </c>
      <c r="C111">
        <v>286.66000400000001</v>
      </c>
      <c r="D111">
        <v>283.91000400000001</v>
      </c>
      <c r="E111">
        <v>284.91000400000001</v>
      </c>
      <c r="F111">
        <v>283.26062000000002</v>
      </c>
      <c r="G111">
        <v>20940900</v>
      </c>
    </row>
    <row r="112" spans="1:7" x14ac:dyDescent="0.2">
      <c r="A112" s="1">
        <v>44410</v>
      </c>
      <c r="B112">
        <v>286.35998499999999</v>
      </c>
      <c r="C112">
        <v>286.76998900000001</v>
      </c>
      <c r="D112">
        <v>283.73998999999998</v>
      </c>
      <c r="E112">
        <v>284.82000699999998</v>
      </c>
      <c r="F112">
        <v>283.17114299999997</v>
      </c>
      <c r="G112">
        <v>16267400</v>
      </c>
    </row>
    <row r="113" spans="1:7" x14ac:dyDescent="0.2">
      <c r="A113" s="1">
        <v>44411</v>
      </c>
      <c r="B113">
        <v>285.42001299999998</v>
      </c>
      <c r="C113">
        <v>287.23001099999999</v>
      </c>
      <c r="D113">
        <v>284</v>
      </c>
      <c r="E113">
        <v>287.11999500000002</v>
      </c>
      <c r="F113">
        <v>285.45782500000001</v>
      </c>
      <c r="G113">
        <v>17879000</v>
      </c>
    </row>
    <row r="114" spans="1:7" x14ac:dyDescent="0.2">
      <c r="A114" s="1">
        <v>44412</v>
      </c>
      <c r="B114">
        <v>286.22000100000002</v>
      </c>
      <c r="C114">
        <v>287.58999599999999</v>
      </c>
      <c r="D114">
        <v>284.64999399999999</v>
      </c>
      <c r="E114">
        <v>286.51001000000002</v>
      </c>
      <c r="F114">
        <v>284.85134900000003</v>
      </c>
      <c r="G114">
        <v>16191300</v>
      </c>
    </row>
    <row r="115" spans="1:7" x14ac:dyDescent="0.2">
      <c r="A115" s="1">
        <v>44413</v>
      </c>
      <c r="B115">
        <v>286.88000499999998</v>
      </c>
      <c r="C115">
        <v>289.63000499999998</v>
      </c>
      <c r="D115">
        <v>286.10000600000001</v>
      </c>
      <c r="E115">
        <v>289.51998900000001</v>
      </c>
      <c r="F115">
        <v>287.84390300000001</v>
      </c>
      <c r="G115">
        <v>13900200</v>
      </c>
    </row>
    <row r="116" spans="1:7" x14ac:dyDescent="0.2">
      <c r="A116" s="1">
        <v>44414</v>
      </c>
      <c r="B116">
        <v>288.51001000000002</v>
      </c>
      <c r="C116">
        <v>289.5</v>
      </c>
      <c r="D116">
        <v>287.61999500000002</v>
      </c>
      <c r="E116">
        <v>289.459991</v>
      </c>
      <c r="F116">
        <v>287.78427099999999</v>
      </c>
      <c r="G116">
        <v>16585200</v>
      </c>
    </row>
    <row r="117" spans="1:7" x14ac:dyDescent="0.2">
      <c r="A117" s="1">
        <v>44417</v>
      </c>
      <c r="B117">
        <v>289.75</v>
      </c>
      <c r="C117">
        <v>291.54998799999998</v>
      </c>
      <c r="D117">
        <v>287.80999800000001</v>
      </c>
      <c r="E117">
        <v>288.32998700000002</v>
      </c>
      <c r="F117">
        <v>286.66076700000002</v>
      </c>
      <c r="G117">
        <v>16117600</v>
      </c>
    </row>
    <row r="118" spans="1:7" x14ac:dyDescent="0.2">
      <c r="A118" s="1">
        <v>44418</v>
      </c>
      <c r="B118">
        <v>288.79998799999998</v>
      </c>
      <c r="C118">
        <v>289.25</v>
      </c>
      <c r="D118">
        <v>285.20001200000002</v>
      </c>
      <c r="E118">
        <v>286.44000199999999</v>
      </c>
      <c r="F118">
        <v>284.781769</v>
      </c>
      <c r="G118">
        <v>18616600</v>
      </c>
    </row>
    <row r="119" spans="1:7" x14ac:dyDescent="0.2">
      <c r="A119" s="1">
        <v>44419</v>
      </c>
      <c r="B119">
        <v>287.209991</v>
      </c>
      <c r="C119">
        <v>288.66000400000001</v>
      </c>
      <c r="D119">
        <v>285.85998499999999</v>
      </c>
      <c r="E119">
        <v>286.95001200000002</v>
      </c>
      <c r="F119">
        <v>285.28881799999999</v>
      </c>
      <c r="G119">
        <v>13955900</v>
      </c>
    </row>
    <row r="120" spans="1:7" x14ac:dyDescent="0.2">
      <c r="A120" s="1">
        <v>44420</v>
      </c>
      <c r="B120">
        <v>286.63000499999998</v>
      </c>
      <c r="C120">
        <v>289.97000100000002</v>
      </c>
      <c r="D120">
        <v>286.33999599999999</v>
      </c>
      <c r="E120">
        <v>289.80999800000001</v>
      </c>
      <c r="F120">
        <v>288.13226300000002</v>
      </c>
      <c r="G120">
        <v>14561300</v>
      </c>
    </row>
    <row r="121" spans="1:7" x14ac:dyDescent="0.2">
      <c r="A121" s="1">
        <v>44421</v>
      </c>
      <c r="B121">
        <v>289.48001099999999</v>
      </c>
      <c r="C121">
        <v>292.89999399999999</v>
      </c>
      <c r="D121">
        <v>289.29998799999998</v>
      </c>
      <c r="E121">
        <v>292.85000600000001</v>
      </c>
      <c r="F121">
        <v>291.15463299999999</v>
      </c>
      <c r="G121">
        <v>18231400</v>
      </c>
    </row>
    <row r="122" spans="1:7" x14ac:dyDescent="0.2">
      <c r="A122" s="1">
        <v>44424</v>
      </c>
      <c r="B122">
        <v>293.19000199999999</v>
      </c>
      <c r="C122">
        <v>294.82000699999998</v>
      </c>
      <c r="D122">
        <v>290.01998900000001</v>
      </c>
      <c r="E122">
        <v>294.60000600000001</v>
      </c>
      <c r="F122">
        <v>292.89453099999997</v>
      </c>
      <c r="G122">
        <v>22507600</v>
      </c>
    </row>
    <row r="123" spans="1:7" x14ac:dyDescent="0.2">
      <c r="A123" s="1">
        <v>44425</v>
      </c>
      <c r="B123">
        <v>292.39001500000001</v>
      </c>
      <c r="C123">
        <v>293.42999300000002</v>
      </c>
      <c r="D123">
        <v>291.07998700000002</v>
      </c>
      <c r="E123">
        <v>293.07998700000002</v>
      </c>
      <c r="F123">
        <v>291.38330100000002</v>
      </c>
      <c r="G123">
        <v>20075300</v>
      </c>
    </row>
    <row r="124" spans="1:7" x14ac:dyDescent="0.2">
      <c r="A124" s="1">
        <v>44426</v>
      </c>
      <c r="B124">
        <v>292.040009</v>
      </c>
      <c r="C124">
        <v>294.82000699999998</v>
      </c>
      <c r="D124">
        <v>290.26998900000001</v>
      </c>
      <c r="E124">
        <v>290.73001099999999</v>
      </c>
      <c r="F124">
        <v>289.600281</v>
      </c>
      <c r="G124">
        <v>21813000</v>
      </c>
    </row>
    <row r="125" spans="1:7" x14ac:dyDescent="0.2">
      <c r="A125" s="1">
        <v>44427</v>
      </c>
      <c r="B125">
        <v>288.69000199999999</v>
      </c>
      <c r="C125">
        <v>297.47000100000002</v>
      </c>
      <c r="D125">
        <v>288.64001500000001</v>
      </c>
      <c r="E125">
        <v>296.76998900000001</v>
      </c>
      <c r="F125">
        <v>295.61676</v>
      </c>
      <c r="G125">
        <v>29850500</v>
      </c>
    </row>
    <row r="126" spans="1:7" x14ac:dyDescent="0.2">
      <c r="A126" s="1">
        <v>44428</v>
      </c>
      <c r="B126">
        <v>299.72000100000002</v>
      </c>
      <c r="C126">
        <v>305.83999599999999</v>
      </c>
      <c r="D126">
        <v>298.05999800000001</v>
      </c>
      <c r="E126">
        <v>304.35998499999999</v>
      </c>
      <c r="F126">
        <v>303.177277</v>
      </c>
      <c r="G126">
        <v>40796100</v>
      </c>
    </row>
    <row r="127" spans="1:7" x14ac:dyDescent="0.2">
      <c r="A127" s="1">
        <v>44431</v>
      </c>
      <c r="B127">
        <v>303.25</v>
      </c>
      <c r="C127">
        <v>305.39999399999999</v>
      </c>
      <c r="D127">
        <v>301.85000600000001</v>
      </c>
      <c r="E127">
        <v>304.64999399999999</v>
      </c>
      <c r="F127">
        <v>303.46618699999999</v>
      </c>
      <c r="G127">
        <v>22830200</v>
      </c>
    </row>
    <row r="128" spans="1:7" x14ac:dyDescent="0.2">
      <c r="A128" s="1">
        <v>44432</v>
      </c>
      <c r="B128">
        <v>305.01998900000001</v>
      </c>
      <c r="C128">
        <v>305.64999399999999</v>
      </c>
      <c r="D128">
        <v>302</v>
      </c>
      <c r="E128">
        <v>302.61999500000002</v>
      </c>
      <c r="F128">
        <v>301.44406099999998</v>
      </c>
      <c r="G128">
        <v>18175800</v>
      </c>
    </row>
    <row r="129" spans="1:7" x14ac:dyDescent="0.2">
      <c r="A129" s="1">
        <v>44433</v>
      </c>
      <c r="B129">
        <v>304.29998799999998</v>
      </c>
      <c r="C129">
        <v>304.58999599999999</v>
      </c>
      <c r="D129">
        <v>300.42001299999998</v>
      </c>
      <c r="E129">
        <v>302.01001000000002</v>
      </c>
      <c r="F129">
        <v>300.836456</v>
      </c>
      <c r="G129">
        <v>20006100</v>
      </c>
    </row>
    <row r="130" spans="1:7" x14ac:dyDescent="0.2">
      <c r="A130" s="1">
        <v>44434</v>
      </c>
      <c r="B130">
        <v>300.98998999999998</v>
      </c>
      <c r="C130">
        <v>302.42999300000002</v>
      </c>
      <c r="D130">
        <v>298.95001200000002</v>
      </c>
      <c r="E130">
        <v>299.08999599999999</v>
      </c>
      <c r="F130">
        <v>297.927795</v>
      </c>
      <c r="G130">
        <v>17666100</v>
      </c>
    </row>
    <row r="131" spans="1:7" x14ac:dyDescent="0.2">
      <c r="A131" s="1">
        <v>44435</v>
      </c>
      <c r="B131">
        <v>298.98998999999998</v>
      </c>
      <c r="C131">
        <v>300.86999500000002</v>
      </c>
      <c r="D131">
        <v>296.82998700000002</v>
      </c>
      <c r="E131">
        <v>299.72000100000002</v>
      </c>
      <c r="F131">
        <v>298.55532799999997</v>
      </c>
      <c r="G131">
        <v>22597000</v>
      </c>
    </row>
    <row r="132" spans="1:7" x14ac:dyDescent="0.2">
      <c r="A132" s="1">
        <v>44438</v>
      </c>
      <c r="B132">
        <v>301.11999500000002</v>
      </c>
      <c r="C132">
        <v>304.22000100000002</v>
      </c>
      <c r="D132">
        <v>301.05999800000001</v>
      </c>
      <c r="E132">
        <v>303.58999599999999</v>
      </c>
      <c r="F132">
        <v>302.41027800000001</v>
      </c>
      <c r="G132">
        <v>16348100</v>
      </c>
    </row>
    <row r="133" spans="1:7" x14ac:dyDescent="0.2">
      <c r="A133" s="1">
        <v>44439</v>
      </c>
      <c r="B133">
        <v>304.42001299999998</v>
      </c>
      <c r="C133">
        <v>304.5</v>
      </c>
      <c r="D133">
        <v>301.5</v>
      </c>
      <c r="E133">
        <v>301.88000499999998</v>
      </c>
      <c r="F133">
        <v>300.70697000000001</v>
      </c>
      <c r="G133">
        <v>26285300</v>
      </c>
    </row>
    <row r="134" spans="1:7" x14ac:dyDescent="0.2">
      <c r="A134" s="1">
        <v>44440</v>
      </c>
      <c r="B134">
        <v>302.86999500000002</v>
      </c>
      <c r="C134">
        <v>305.19000199999999</v>
      </c>
      <c r="D134">
        <v>301.48998999999998</v>
      </c>
      <c r="E134">
        <v>301.82998700000002</v>
      </c>
      <c r="F134">
        <v>300.65713499999998</v>
      </c>
      <c r="G134">
        <v>18983800</v>
      </c>
    </row>
    <row r="135" spans="1:7" x14ac:dyDescent="0.2">
      <c r="A135" s="1">
        <v>44441</v>
      </c>
      <c r="B135">
        <v>302.20001200000002</v>
      </c>
      <c r="C135">
        <v>303.35998499999999</v>
      </c>
      <c r="D135">
        <v>300.17999300000002</v>
      </c>
      <c r="E135">
        <v>301.14999399999999</v>
      </c>
      <c r="F135">
        <v>299.97976699999998</v>
      </c>
      <c r="G135">
        <v>16285600</v>
      </c>
    </row>
    <row r="136" spans="1:7" x14ac:dyDescent="0.2">
      <c r="A136" s="1">
        <v>44442</v>
      </c>
      <c r="B136">
        <v>300.98998999999998</v>
      </c>
      <c r="C136">
        <v>302.60000600000001</v>
      </c>
      <c r="D136">
        <v>300.26001000000002</v>
      </c>
      <c r="E136">
        <v>301.14001500000001</v>
      </c>
      <c r="F136">
        <v>299.96984900000001</v>
      </c>
      <c r="G136">
        <v>14747900</v>
      </c>
    </row>
    <row r="137" spans="1:7" x14ac:dyDescent="0.2">
      <c r="A137" s="1">
        <v>44446</v>
      </c>
      <c r="B137">
        <v>301.01001000000002</v>
      </c>
      <c r="C137">
        <v>301.08999599999999</v>
      </c>
      <c r="D137">
        <v>298.20001200000002</v>
      </c>
      <c r="E137">
        <v>300.17999300000002</v>
      </c>
      <c r="F137">
        <v>299.01351899999997</v>
      </c>
      <c r="G137">
        <v>17180400</v>
      </c>
    </row>
    <row r="138" spans="1:7" x14ac:dyDescent="0.2">
      <c r="A138" s="1">
        <v>44447</v>
      </c>
      <c r="B138">
        <v>299.77999899999998</v>
      </c>
      <c r="C138">
        <v>300.60998499999999</v>
      </c>
      <c r="D138">
        <v>297.47000100000002</v>
      </c>
      <c r="E138">
        <v>300.209991</v>
      </c>
      <c r="F138">
        <v>299.04339599999997</v>
      </c>
      <c r="G138">
        <v>15046800</v>
      </c>
    </row>
    <row r="139" spans="1:7" x14ac:dyDescent="0.2">
      <c r="A139" s="1">
        <v>44448</v>
      </c>
      <c r="B139">
        <v>300.82000699999998</v>
      </c>
      <c r="C139">
        <v>302.14001500000001</v>
      </c>
      <c r="D139">
        <v>297</v>
      </c>
      <c r="E139">
        <v>297.25</v>
      </c>
      <c r="F139">
        <v>296.09494000000001</v>
      </c>
      <c r="G139">
        <v>19927000</v>
      </c>
    </row>
    <row r="140" spans="1:7" x14ac:dyDescent="0.2">
      <c r="A140" s="1">
        <v>44449</v>
      </c>
      <c r="B140">
        <v>298.42001299999998</v>
      </c>
      <c r="C140">
        <v>299.92001299999998</v>
      </c>
      <c r="D140">
        <v>295.38000499999998</v>
      </c>
      <c r="E140">
        <v>295.709991</v>
      </c>
      <c r="F140">
        <v>294.56091300000003</v>
      </c>
      <c r="G140">
        <v>19619400</v>
      </c>
    </row>
    <row r="141" spans="1:7" x14ac:dyDescent="0.2">
      <c r="A141" s="1">
        <v>44452</v>
      </c>
      <c r="B141">
        <v>297.54998799999998</v>
      </c>
      <c r="C141">
        <v>298.540009</v>
      </c>
      <c r="D141">
        <v>294.07998700000002</v>
      </c>
      <c r="E141">
        <v>296.98998999999998</v>
      </c>
      <c r="F141">
        <v>295.835938</v>
      </c>
      <c r="G141">
        <v>23652900</v>
      </c>
    </row>
    <row r="142" spans="1:7" x14ac:dyDescent="0.2">
      <c r="A142" s="1">
        <v>44453</v>
      </c>
      <c r="B142">
        <v>299.55999800000001</v>
      </c>
      <c r="C142">
        <v>301.39001500000001</v>
      </c>
      <c r="D142">
        <v>298.10000600000001</v>
      </c>
      <c r="E142">
        <v>299.790009</v>
      </c>
      <c r="F142">
        <v>298.625092</v>
      </c>
      <c r="G142">
        <v>21853400</v>
      </c>
    </row>
    <row r="143" spans="1:7" x14ac:dyDescent="0.2">
      <c r="A143" s="1">
        <v>44454</v>
      </c>
      <c r="B143">
        <v>303.26001000000002</v>
      </c>
      <c r="C143">
        <v>305.32000699999998</v>
      </c>
      <c r="D143">
        <v>301.82000699999998</v>
      </c>
      <c r="E143">
        <v>304.82000699999998</v>
      </c>
      <c r="F143">
        <v>303.63552900000002</v>
      </c>
      <c r="G143">
        <v>28356300</v>
      </c>
    </row>
    <row r="144" spans="1:7" x14ac:dyDescent="0.2">
      <c r="A144" s="1">
        <v>44455</v>
      </c>
      <c r="B144">
        <v>303.76001000000002</v>
      </c>
      <c r="C144">
        <v>305.30999800000001</v>
      </c>
      <c r="D144">
        <v>300.76001000000002</v>
      </c>
      <c r="E144">
        <v>305.22000100000002</v>
      </c>
      <c r="F144">
        <v>304.03396600000002</v>
      </c>
      <c r="G144">
        <v>19550800</v>
      </c>
    </row>
    <row r="145" spans="1:7" x14ac:dyDescent="0.2">
      <c r="A145" s="1">
        <v>44456</v>
      </c>
      <c r="B145">
        <v>304.17001299999998</v>
      </c>
      <c r="C145">
        <v>304.5</v>
      </c>
      <c r="D145">
        <v>299.52999899999998</v>
      </c>
      <c r="E145">
        <v>299.86999500000002</v>
      </c>
      <c r="F145">
        <v>298.70474200000001</v>
      </c>
      <c r="G145">
        <v>41372500</v>
      </c>
    </row>
    <row r="146" spans="1:7" x14ac:dyDescent="0.2">
      <c r="A146" s="1">
        <v>44459</v>
      </c>
      <c r="B146">
        <v>296.32998700000002</v>
      </c>
      <c r="C146">
        <v>298.72000100000002</v>
      </c>
      <c r="D146">
        <v>289.51998900000001</v>
      </c>
      <c r="E146">
        <v>294.29998799999998</v>
      </c>
      <c r="F146">
        <v>293.15637199999998</v>
      </c>
      <c r="G146">
        <v>38278700</v>
      </c>
    </row>
    <row r="147" spans="1:7" x14ac:dyDescent="0.2">
      <c r="A147" s="1">
        <v>44460</v>
      </c>
      <c r="B147">
        <v>295.69000199999999</v>
      </c>
      <c r="C147">
        <v>297.540009</v>
      </c>
      <c r="D147">
        <v>294.07000699999998</v>
      </c>
      <c r="E147">
        <v>294.79998799999998</v>
      </c>
      <c r="F147">
        <v>293.65441900000002</v>
      </c>
      <c r="G147">
        <v>22364100</v>
      </c>
    </row>
    <row r="148" spans="1:7" x14ac:dyDescent="0.2">
      <c r="A148" s="1">
        <v>44461</v>
      </c>
      <c r="B148">
        <v>296.73001099999999</v>
      </c>
      <c r="C148">
        <v>300.22000100000002</v>
      </c>
      <c r="D148">
        <v>294.51001000000002</v>
      </c>
      <c r="E148">
        <v>298.57998700000002</v>
      </c>
      <c r="F148">
        <v>297.41973899999999</v>
      </c>
      <c r="G148">
        <v>26626300</v>
      </c>
    </row>
    <row r="149" spans="1:7" x14ac:dyDescent="0.2">
      <c r="A149" s="1">
        <v>44462</v>
      </c>
      <c r="B149">
        <v>298.85000600000001</v>
      </c>
      <c r="C149">
        <v>300.89999399999999</v>
      </c>
      <c r="D149">
        <v>297.52999899999998</v>
      </c>
      <c r="E149">
        <v>299.55999800000001</v>
      </c>
      <c r="F149">
        <v>298.39593500000001</v>
      </c>
      <c r="G149">
        <v>18604600</v>
      </c>
    </row>
    <row r="150" spans="1:7" x14ac:dyDescent="0.2">
      <c r="A150" s="1">
        <v>44463</v>
      </c>
      <c r="B150">
        <v>298.23001099999999</v>
      </c>
      <c r="C150">
        <v>299.79998799999998</v>
      </c>
      <c r="D150">
        <v>296.92999300000002</v>
      </c>
      <c r="E150">
        <v>299.35000600000001</v>
      </c>
      <c r="F150">
        <v>298.18676799999997</v>
      </c>
      <c r="G150">
        <v>14999000</v>
      </c>
    </row>
    <row r="151" spans="1:7" x14ac:dyDescent="0.2">
      <c r="A151" s="1">
        <v>44466</v>
      </c>
      <c r="B151">
        <v>296.14001500000001</v>
      </c>
      <c r="C151">
        <v>296.47000100000002</v>
      </c>
      <c r="D151">
        <v>292.94000199999999</v>
      </c>
      <c r="E151">
        <v>294.17001299999998</v>
      </c>
      <c r="F151">
        <v>293.02691700000003</v>
      </c>
      <c r="G151">
        <v>23571700</v>
      </c>
    </row>
    <row r="152" spans="1:7" x14ac:dyDescent="0.2">
      <c r="A152" s="1">
        <v>44467</v>
      </c>
      <c r="B152">
        <v>289.79998799999998</v>
      </c>
      <c r="C152">
        <v>290.77999899999998</v>
      </c>
      <c r="D152">
        <v>282.75</v>
      </c>
      <c r="E152">
        <v>283.51998900000001</v>
      </c>
      <c r="F152">
        <v>282.418274</v>
      </c>
      <c r="G152">
        <v>43186200</v>
      </c>
    </row>
    <row r="153" spans="1:7" x14ac:dyDescent="0.2">
      <c r="A153" s="1">
        <v>44468</v>
      </c>
      <c r="B153">
        <v>285.10000600000001</v>
      </c>
      <c r="C153">
        <v>286.76998900000001</v>
      </c>
      <c r="D153">
        <v>283.01001000000002</v>
      </c>
      <c r="E153">
        <v>284</v>
      </c>
      <c r="F153">
        <v>282.89639299999999</v>
      </c>
      <c r="G153">
        <v>26353700</v>
      </c>
    </row>
    <row r="154" spans="1:7" x14ac:dyDescent="0.2">
      <c r="A154" s="1">
        <v>44469</v>
      </c>
      <c r="B154">
        <v>285.709991</v>
      </c>
      <c r="C154">
        <v>287.82998700000002</v>
      </c>
      <c r="D154">
        <v>281.61999500000002</v>
      </c>
      <c r="E154">
        <v>281.92001299999998</v>
      </c>
      <c r="F154">
        <v>280.824524</v>
      </c>
      <c r="G154">
        <v>32325800</v>
      </c>
    </row>
    <row r="155" spans="1:7" x14ac:dyDescent="0.2">
      <c r="A155" s="1">
        <v>44470</v>
      </c>
      <c r="B155">
        <v>282.11999500000002</v>
      </c>
      <c r="C155">
        <v>289.98001099999999</v>
      </c>
      <c r="D155">
        <v>281.290009</v>
      </c>
      <c r="E155">
        <v>289.10000600000001</v>
      </c>
      <c r="F155">
        <v>287.97659299999998</v>
      </c>
      <c r="G155">
        <v>30086300</v>
      </c>
    </row>
    <row r="156" spans="1:7" x14ac:dyDescent="0.2">
      <c r="A156" s="1">
        <v>44473</v>
      </c>
      <c r="B156">
        <v>287.39999399999999</v>
      </c>
      <c r="C156">
        <v>287.75</v>
      </c>
      <c r="D156">
        <v>280.25</v>
      </c>
      <c r="E156">
        <v>283.10998499999999</v>
      </c>
      <c r="F156">
        <v>282.00985700000001</v>
      </c>
      <c r="G156">
        <v>31350700</v>
      </c>
    </row>
    <row r="157" spans="1:7" x14ac:dyDescent="0.2">
      <c r="A157" s="1">
        <v>44474</v>
      </c>
      <c r="B157">
        <v>284.04998799999998</v>
      </c>
      <c r="C157">
        <v>290.39999399999999</v>
      </c>
      <c r="D157">
        <v>284.04998799999998</v>
      </c>
      <c r="E157">
        <v>288.76001000000002</v>
      </c>
      <c r="F157">
        <v>287.63793900000002</v>
      </c>
      <c r="G157">
        <v>24993000</v>
      </c>
    </row>
    <row r="158" spans="1:7" x14ac:dyDescent="0.2">
      <c r="A158" s="1">
        <v>44475</v>
      </c>
      <c r="B158">
        <v>285.77999899999998</v>
      </c>
      <c r="C158">
        <v>293.63000499999998</v>
      </c>
      <c r="D158">
        <v>285.51001000000002</v>
      </c>
      <c r="E158">
        <v>293.10998499999999</v>
      </c>
      <c r="F158">
        <v>291.970978</v>
      </c>
      <c r="G158">
        <v>28002600</v>
      </c>
    </row>
    <row r="159" spans="1:7" x14ac:dyDescent="0.2">
      <c r="A159" s="1">
        <v>44476</v>
      </c>
      <c r="B159">
        <v>295.17999300000002</v>
      </c>
      <c r="C159">
        <v>296.64001500000001</v>
      </c>
      <c r="D159">
        <v>293.92001299999998</v>
      </c>
      <c r="E159">
        <v>294.85000600000001</v>
      </c>
      <c r="F159">
        <v>293.70425399999999</v>
      </c>
      <c r="G159">
        <v>20430500</v>
      </c>
    </row>
    <row r="160" spans="1:7" x14ac:dyDescent="0.2">
      <c r="A160" s="1">
        <v>44477</v>
      </c>
      <c r="B160">
        <v>296.22000100000002</v>
      </c>
      <c r="C160">
        <v>296.64001500000001</v>
      </c>
      <c r="D160">
        <v>293.76001000000002</v>
      </c>
      <c r="E160">
        <v>294.85000600000001</v>
      </c>
      <c r="F160">
        <v>293.70425399999999</v>
      </c>
      <c r="G160">
        <v>17680300</v>
      </c>
    </row>
    <row r="161" spans="1:7" x14ac:dyDescent="0.2">
      <c r="A161" s="1">
        <v>44480</v>
      </c>
      <c r="B161">
        <v>292.92001299999998</v>
      </c>
      <c r="C161">
        <v>297.97000100000002</v>
      </c>
      <c r="D161">
        <v>292.75</v>
      </c>
      <c r="E161">
        <v>294.23001099999999</v>
      </c>
      <c r="F161">
        <v>293.08667000000003</v>
      </c>
      <c r="G161">
        <v>19298600</v>
      </c>
    </row>
    <row r="162" spans="1:7" x14ac:dyDescent="0.2">
      <c r="A162" s="1">
        <v>44481</v>
      </c>
      <c r="B162">
        <v>295.33999599999999</v>
      </c>
      <c r="C162">
        <v>295.44000199999999</v>
      </c>
      <c r="D162">
        <v>292.35000600000001</v>
      </c>
      <c r="E162">
        <v>292.88000499999998</v>
      </c>
      <c r="F162">
        <v>291.74191300000001</v>
      </c>
      <c r="G162">
        <v>17974100</v>
      </c>
    </row>
    <row r="163" spans="1:7" x14ac:dyDescent="0.2">
      <c r="A163" s="1">
        <v>44482</v>
      </c>
      <c r="B163">
        <v>294.91000400000001</v>
      </c>
      <c r="C163">
        <v>297.27999899999998</v>
      </c>
      <c r="D163">
        <v>293.48998999999998</v>
      </c>
      <c r="E163">
        <v>296.30999800000001</v>
      </c>
      <c r="F163">
        <v>295.15859999999998</v>
      </c>
      <c r="G163">
        <v>23416300</v>
      </c>
    </row>
    <row r="164" spans="1:7" x14ac:dyDescent="0.2">
      <c r="A164" s="1">
        <v>44483</v>
      </c>
      <c r="B164">
        <v>299.209991</v>
      </c>
      <c r="C164">
        <v>303.26998900000001</v>
      </c>
      <c r="D164">
        <v>297.82998700000002</v>
      </c>
      <c r="E164">
        <v>302.75</v>
      </c>
      <c r="F164">
        <v>301.57354700000002</v>
      </c>
      <c r="G164">
        <v>27262900</v>
      </c>
    </row>
    <row r="165" spans="1:7" x14ac:dyDescent="0.2">
      <c r="A165" s="1">
        <v>44484</v>
      </c>
      <c r="B165">
        <v>302.33999599999999</v>
      </c>
      <c r="C165">
        <v>304.45001200000002</v>
      </c>
      <c r="D165">
        <v>300.51998900000001</v>
      </c>
      <c r="E165">
        <v>304.209991</v>
      </c>
      <c r="F165">
        <v>303.02786300000002</v>
      </c>
      <c r="G165">
        <v>25374700</v>
      </c>
    </row>
    <row r="166" spans="1:7" x14ac:dyDescent="0.2">
      <c r="A166" s="1">
        <v>44487</v>
      </c>
      <c r="B166">
        <v>303.57000699999998</v>
      </c>
      <c r="C166">
        <v>308.209991</v>
      </c>
      <c r="D166">
        <v>302.69000199999999</v>
      </c>
      <c r="E166">
        <v>307.290009</v>
      </c>
      <c r="F166">
        <v>306.09591699999999</v>
      </c>
      <c r="G166">
        <v>22729300</v>
      </c>
    </row>
    <row r="167" spans="1:7" x14ac:dyDescent="0.2">
      <c r="A167" s="1">
        <v>44488</v>
      </c>
      <c r="B167">
        <v>308.35000600000001</v>
      </c>
      <c r="C167">
        <v>309.29998799999998</v>
      </c>
      <c r="D167">
        <v>307.22000100000002</v>
      </c>
      <c r="E167">
        <v>308.23001099999999</v>
      </c>
      <c r="F167">
        <v>307.03228799999999</v>
      </c>
      <c r="G167">
        <v>17682100</v>
      </c>
    </row>
    <row r="168" spans="1:7" x14ac:dyDescent="0.2">
      <c r="A168" s="1">
        <v>44489</v>
      </c>
      <c r="B168">
        <v>309.209991</v>
      </c>
      <c r="C168">
        <v>309.70001200000002</v>
      </c>
      <c r="D168">
        <v>306.10998499999999</v>
      </c>
      <c r="E168">
        <v>307.41000400000001</v>
      </c>
      <c r="F168">
        <v>306.21545400000002</v>
      </c>
      <c r="G168">
        <v>16537100</v>
      </c>
    </row>
    <row r="169" spans="1:7" x14ac:dyDescent="0.2">
      <c r="A169" s="1">
        <v>44490</v>
      </c>
      <c r="B169">
        <v>307.17001299999998</v>
      </c>
      <c r="C169">
        <v>311.01998900000001</v>
      </c>
      <c r="D169">
        <v>306.35998499999999</v>
      </c>
      <c r="E169">
        <v>310.76001000000002</v>
      </c>
      <c r="F169">
        <v>309.55242900000002</v>
      </c>
      <c r="G169">
        <v>16918100</v>
      </c>
    </row>
    <row r="170" spans="1:7" x14ac:dyDescent="0.2">
      <c r="A170" s="1">
        <v>44491</v>
      </c>
      <c r="B170">
        <v>310.39999399999999</v>
      </c>
      <c r="C170">
        <v>311.08999599999999</v>
      </c>
      <c r="D170">
        <v>307.79998799999998</v>
      </c>
      <c r="E170">
        <v>309.16000400000001</v>
      </c>
      <c r="F170">
        <v>307.95864899999998</v>
      </c>
      <c r="G170">
        <v>17449300</v>
      </c>
    </row>
    <row r="171" spans="1:7" x14ac:dyDescent="0.2">
      <c r="A171" s="1">
        <v>44494</v>
      </c>
      <c r="B171">
        <v>309.35998499999999</v>
      </c>
      <c r="C171">
        <v>309.39999399999999</v>
      </c>
      <c r="D171">
        <v>306.459991</v>
      </c>
      <c r="E171">
        <v>308.13000499999998</v>
      </c>
      <c r="F171">
        <v>306.93267800000001</v>
      </c>
      <c r="G171">
        <v>17554500</v>
      </c>
    </row>
    <row r="172" spans="1:7" x14ac:dyDescent="0.2">
      <c r="A172" s="1">
        <v>44495</v>
      </c>
      <c r="B172">
        <v>311</v>
      </c>
      <c r="C172">
        <v>312.39999399999999</v>
      </c>
      <c r="D172">
        <v>308.60000600000001</v>
      </c>
      <c r="E172">
        <v>310.10998499999999</v>
      </c>
      <c r="F172">
        <v>308.90493800000002</v>
      </c>
      <c r="G172">
        <v>28107300</v>
      </c>
    </row>
    <row r="173" spans="1:7" x14ac:dyDescent="0.2">
      <c r="A173" s="1">
        <v>44496</v>
      </c>
      <c r="B173">
        <v>316</v>
      </c>
      <c r="C173">
        <v>326.10000600000001</v>
      </c>
      <c r="D173">
        <v>316</v>
      </c>
      <c r="E173">
        <v>323.17001299999998</v>
      </c>
      <c r="F173">
        <v>321.91424599999999</v>
      </c>
      <c r="G173">
        <v>52588700</v>
      </c>
    </row>
    <row r="174" spans="1:7" x14ac:dyDescent="0.2">
      <c r="A174" s="1">
        <v>44497</v>
      </c>
      <c r="B174">
        <v>324.32998700000002</v>
      </c>
      <c r="C174">
        <v>324.86999500000002</v>
      </c>
      <c r="D174">
        <v>321.35998499999999</v>
      </c>
      <c r="E174">
        <v>324.35000600000001</v>
      </c>
      <c r="F174">
        <v>323.08963</v>
      </c>
      <c r="G174">
        <v>26297900</v>
      </c>
    </row>
    <row r="175" spans="1:7" x14ac:dyDescent="0.2">
      <c r="A175" s="1">
        <v>44498</v>
      </c>
      <c r="B175">
        <v>324.13000499999998</v>
      </c>
      <c r="C175">
        <v>332</v>
      </c>
      <c r="D175">
        <v>323.89999399999999</v>
      </c>
      <c r="E175">
        <v>331.61999500000002</v>
      </c>
      <c r="F175">
        <v>330.33136000000002</v>
      </c>
      <c r="G175">
        <v>34744900</v>
      </c>
    </row>
    <row r="176" spans="1:7" x14ac:dyDescent="0.2">
      <c r="A176" s="1">
        <v>44501</v>
      </c>
      <c r="B176">
        <v>331.35998499999999</v>
      </c>
      <c r="C176">
        <v>331.48998999999998</v>
      </c>
      <c r="D176">
        <v>326.36999500000002</v>
      </c>
      <c r="E176">
        <v>329.36999500000002</v>
      </c>
      <c r="F176">
        <v>328.09011800000002</v>
      </c>
      <c r="G176">
        <v>27073200</v>
      </c>
    </row>
    <row r="177" spans="1:7" x14ac:dyDescent="0.2">
      <c r="A177" s="1">
        <v>44502</v>
      </c>
      <c r="B177">
        <v>330.30999800000001</v>
      </c>
      <c r="C177">
        <v>333.45001200000002</v>
      </c>
      <c r="D177">
        <v>330</v>
      </c>
      <c r="E177">
        <v>333.13000499999998</v>
      </c>
      <c r="F177">
        <v>331.83551</v>
      </c>
      <c r="G177">
        <v>26487100</v>
      </c>
    </row>
    <row r="178" spans="1:7" x14ac:dyDescent="0.2">
      <c r="A178" s="1">
        <v>44503</v>
      </c>
      <c r="B178">
        <v>333.89999399999999</v>
      </c>
      <c r="C178">
        <v>334.89999399999999</v>
      </c>
      <c r="D178">
        <v>330.64999399999999</v>
      </c>
      <c r="E178">
        <v>334</v>
      </c>
      <c r="F178">
        <v>332.70211799999998</v>
      </c>
      <c r="G178">
        <v>21500100</v>
      </c>
    </row>
    <row r="179" spans="1:7" x14ac:dyDescent="0.2">
      <c r="A179" s="1">
        <v>44504</v>
      </c>
      <c r="B179">
        <v>332.89001500000001</v>
      </c>
      <c r="C179">
        <v>336.540009</v>
      </c>
      <c r="D179">
        <v>329.51001000000002</v>
      </c>
      <c r="E179">
        <v>336.44000199999999</v>
      </c>
      <c r="F179">
        <v>335.13262900000001</v>
      </c>
      <c r="G179">
        <v>23992200</v>
      </c>
    </row>
    <row r="180" spans="1:7" x14ac:dyDescent="0.2">
      <c r="A180" s="1">
        <v>44505</v>
      </c>
      <c r="B180">
        <v>338.51001000000002</v>
      </c>
      <c r="C180">
        <v>338.790009</v>
      </c>
      <c r="D180">
        <v>334.42001299999998</v>
      </c>
      <c r="E180">
        <v>336.05999800000001</v>
      </c>
      <c r="F180">
        <v>334.75412</v>
      </c>
      <c r="G180">
        <v>22564000</v>
      </c>
    </row>
    <row r="181" spans="1:7" x14ac:dyDescent="0.2">
      <c r="A181" s="1">
        <v>44508</v>
      </c>
      <c r="B181">
        <v>337.29998799999998</v>
      </c>
      <c r="C181">
        <v>337.64999399999999</v>
      </c>
      <c r="D181">
        <v>334.44000199999999</v>
      </c>
      <c r="E181">
        <v>336.98998999999998</v>
      </c>
      <c r="F181">
        <v>335.68051100000002</v>
      </c>
      <c r="G181">
        <v>20897000</v>
      </c>
    </row>
    <row r="182" spans="1:7" x14ac:dyDescent="0.2">
      <c r="A182" s="1">
        <v>44509</v>
      </c>
      <c r="B182">
        <v>337.10998499999999</v>
      </c>
      <c r="C182">
        <v>338.72000100000002</v>
      </c>
      <c r="D182">
        <v>334.52999899999998</v>
      </c>
      <c r="E182">
        <v>335.95001200000002</v>
      </c>
      <c r="F182">
        <v>334.64456200000001</v>
      </c>
      <c r="G182">
        <v>21307400</v>
      </c>
    </row>
    <row r="183" spans="1:7" x14ac:dyDescent="0.2">
      <c r="A183" s="1">
        <v>44510</v>
      </c>
      <c r="B183">
        <v>334.57000699999998</v>
      </c>
      <c r="C183">
        <v>334.63000499999998</v>
      </c>
      <c r="D183">
        <v>329.92001299999998</v>
      </c>
      <c r="E183">
        <v>330.79998799999998</v>
      </c>
      <c r="F183">
        <v>329.51455700000002</v>
      </c>
      <c r="G183">
        <v>25500900</v>
      </c>
    </row>
    <row r="184" spans="1:7" x14ac:dyDescent="0.2">
      <c r="A184" s="1">
        <v>44511</v>
      </c>
      <c r="B184">
        <v>331.25</v>
      </c>
      <c r="C184">
        <v>333.76998900000001</v>
      </c>
      <c r="D184">
        <v>330.51001000000002</v>
      </c>
      <c r="E184">
        <v>332.42999300000002</v>
      </c>
      <c r="F184">
        <v>331.138214</v>
      </c>
      <c r="G184">
        <v>16849800</v>
      </c>
    </row>
    <row r="185" spans="1:7" x14ac:dyDescent="0.2">
      <c r="A185" s="1">
        <v>44512</v>
      </c>
      <c r="B185">
        <v>333.92001299999998</v>
      </c>
      <c r="C185">
        <v>337.23001099999999</v>
      </c>
      <c r="D185">
        <v>333.790009</v>
      </c>
      <c r="E185">
        <v>336.72000100000002</v>
      </c>
      <c r="F185">
        <v>335.41156000000001</v>
      </c>
      <c r="G185">
        <v>23822000</v>
      </c>
    </row>
    <row r="186" spans="1:7" x14ac:dyDescent="0.2">
      <c r="A186" s="1">
        <v>44515</v>
      </c>
      <c r="B186">
        <v>337.540009</v>
      </c>
      <c r="C186">
        <v>337.88000499999998</v>
      </c>
      <c r="D186">
        <v>334.02999899999998</v>
      </c>
      <c r="E186">
        <v>336.07000699999998</v>
      </c>
      <c r="F186">
        <v>334.76409899999999</v>
      </c>
      <c r="G186">
        <v>16723000</v>
      </c>
    </row>
    <row r="187" spans="1:7" x14ac:dyDescent="0.2">
      <c r="A187" s="1">
        <v>44516</v>
      </c>
      <c r="B187">
        <v>335.67999300000002</v>
      </c>
      <c r="C187">
        <v>340.67001299999998</v>
      </c>
      <c r="D187">
        <v>335.51001000000002</v>
      </c>
      <c r="E187">
        <v>339.51001000000002</v>
      </c>
      <c r="F187">
        <v>338.19073500000002</v>
      </c>
      <c r="G187">
        <v>20886800</v>
      </c>
    </row>
    <row r="188" spans="1:7" x14ac:dyDescent="0.2">
      <c r="A188" s="1">
        <v>44517</v>
      </c>
      <c r="B188">
        <v>338.94000199999999</v>
      </c>
      <c r="C188">
        <v>342.19000199999999</v>
      </c>
      <c r="D188">
        <v>338</v>
      </c>
      <c r="E188">
        <v>339.11999500000002</v>
      </c>
      <c r="F188">
        <v>338.42022700000001</v>
      </c>
      <c r="G188">
        <v>19053400</v>
      </c>
    </row>
    <row r="189" spans="1:7" x14ac:dyDescent="0.2">
      <c r="A189" s="1">
        <v>44518</v>
      </c>
      <c r="B189">
        <v>338.17999300000002</v>
      </c>
      <c r="C189">
        <v>342.45001200000002</v>
      </c>
      <c r="D189">
        <v>337.11999500000002</v>
      </c>
      <c r="E189">
        <v>341.26998900000001</v>
      </c>
      <c r="F189">
        <v>340.56579599999998</v>
      </c>
      <c r="G189">
        <v>22463500</v>
      </c>
    </row>
    <row r="190" spans="1:7" x14ac:dyDescent="0.2">
      <c r="A190" s="1">
        <v>44519</v>
      </c>
      <c r="B190">
        <v>342.64001500000001</v>
      </c>
      <c r="C190">
        <v>345.10000600000001</v>
      </c>
      <c r="D190">
        <v>342.20001200000002</v>
      </c>
      <c r="E190">
        <v>343.10998499999999</v>
      </c>
      <c r="F190">
        <v>342.40200800000002</v>
      </c>
      <c r="G190">
        <v>21963400</v>
      </c>
    </row>
    <row r="191" spans="1:7" x14ac:dyDescent="0.2">
      <c r="A191" s="1">
        <v>44522</v>
      </c>
      <c r="B191">
        <v>344.61999500000002</v>
      </c>
      <c r="C191">
        <v>349.67001299999998</v>
      </c>
      <c r="D191">
        <v>339.54998799999998</v>
      </c>
      <c r="E191">
        <v>339.82998700000002</v>
      </c>
      <c r="F191">
        <v>339.12875400000001</v>
      </c>
      <c r="G191">
        <v>31031100</v>
      </c>
    </row>
    <row r="192" spans="1:7" x14ac:dyDescent="0.2">
      <c r="A192" s="1">
        <v>44523</v>
      </c>
      <c r="B192">
        <v>337.04998799999998</v>
      </c>
      <c r="C192">
        <v>339.45001200000002</v>
      </c>
      <c r="D192">
        <v>333.55999800000001</v>
      </c>
      <c r="E192">
        <v>337.67999300000002</v>
      </c>
      <c r="F192">
        <v>336.98321499999997</v>
      </c>
      <c r="G192">
        <v>30427600</v>
      </c>
    </row>
    <row r="193" spans="1:7" x14ac:dyDescent="0.2">
      <c r="A193" s="1">
        <v>44524</v>
      </c>
      <c r="B193">
        <v>336.27999899999998</v>
      </c>
      <c r="C193">
        <v>338.16000400000001</v>
      </c>
      <c r="D193">
        <v>333.91000400000001</v>
      </c>
      <c r="E193">
        <v>337.91000400000001</v>
      </c>
      <c r="F193">
        <v>337.212738</v>
      </c>
      <c r="G193">
        <v>21661300</v>
      </c>
    </row>
    <row r="194" spans="1:7" x14ac:dyDescent="0.2">
      <c r="A194" s="1">
        <v>44526</v>
      </c>
      <c r="B194">
        <v>334.35000600000001</v>
      </c>
      <c r="C194">
        <v>337.92999300000002</v>
      </c>
      <c r="D194">
        <v>328.11999500000002</v>
      </c>
      <c r="E194">
        <v>329.67999300000002</v>
      </c>
      <c r="F194">
        <v>328.99972500000001</v>
      </c>
      <c r="G194">
        <v>24217200</v>
      </c>
    </row>
    <row r="195" spans="1:7" x14ac:dyDescent="0.2">
      <c r="A195" s="1">
        <v>44529</v>
      </c>
      <c r="B195">
        <v>334.94000199999999</v>
      </c>
      <c r="C195">
        <v>339.02999899999998</v>
      </c>
      <c r="D195">
        <v>334.73998999999998</v>
      </c>
      <c r="E195">
        <v>336.63000499999998</v>
      </c>
      <c r="F195">
        <v>335.93539399999997</v>
      </c>
      <c r="G195">
        <v>28563500</v>
      </c>
    </row>
    <row r="196" spans="1:7" x14ac:dyDescent="0.2">
      <c r="A196" s="1">
        <v>44530</v>
      </c>
      <c r="B196">
        <v>335.32000699999998</v>
      </c>
      <c r="C196">
        <v>337.77999899999998</v>
      </c>
      <c r="D196">
        <v>328.98998999999998</v>
      </c>
      <c r="E196">
        <v>330.58999599999999</v>
      </c>
      <c r="F196">
        <v>329.90783699999997</v>
      </c>
      <c r="G196">
        <v>42885600</v>
      </c>
    </row>
    <row r="197" spans="1:7" x14ac:dyDescent="0.2">
      <c r="A197" s="1">
        <v>44531</v>
      </c>
      <c r="B197">
        <v>335.13000499999998</v>
      </c>
      <c r="C197">
        <v>339.27999899999998</v>
      </c>
      <c r="D197">
        <v>329.39001500000001</v>
      </c>
      <c r="E197">
        <v>330.07998700000002</v>
      </c>
      <c r="F197">
        <v>329.39889499999998</v>
      </c>
      <c r="G197">
        <v>33337600</v>
      </c>
    </row>
    <row r="198" spans="1:7" x14ac:dyDescent="0.2">
      <c r="A198" s="1">
        <v>44532</v>
      </c>
      <c r="B198">
        <v>330.29998799999998</v>
      </c>
      <c r="C198">
        <v>333.48998999999998</v>
      </c>
      <c r="D198">
        <v>327.79998799999998</v>
      </c>
      <c r="E198">
        <v>329.48998999999998</v>
      </c>
      <c r="F198">
        <v>328.810089</v>
      </c>
      <c r="G198">
        <v>30766000</v>
      </c>
    </row>
    <row r="199" spans="1:7" x14ac:dyDescent="0.2">
      <c r="A199" s="1">
        <v>44533</v>
      </c>
      <c r="B199">
        <v>331.98998999999998</v>
      </c>
      <c r="C199">
        <v>332.70001200000002</v>
      </c>
      <c r="D199">
        <v>318.02999899999998</v>
      </c>
      <c r="E199">
        <v>323.01001000000002</v>
      </c>
      <c r="F199">
        <v>322.34350599999999</v>
      </c>
      <c r="G199">
        <v>41755900</v>
      </c>
    </row>
    <row r="200" spans="1:7" x14ac:dyDescent="0.2">
      <c r="A200" s="1">
        <v>44536</v>
      </c>
      <c r="B200">
        <v>323.95001200000002</v>
      </c>
      <c r="C200">
        <v>327.45001200000002</v>
      </c>
      <c r="D200">
        <v>319.23001099999999</v>
      </c>
      <c r="E200">
        <v>326.19000199999999</v>
      </c>
      <c r="F200">
        <v>325.51693699999998</v>
      </c>
      <c r="G200">
        <v>30032600</v>
      </c>
    </row>
    <row r="201" spans="1:7" x14ac:dyDescent="0.2">
      <c r="A201" s="1">
        <v>44537</v>
      </c>
      <c r="B201">
        <v>331.64001500000001</v>
      </c>
      <c r="C201">
        <v>335.79998799999998</v>
      </c>
      <c r="D201">
        <v>330.10000600000001</v>
      </c>
      <c r="E201">
        <v>334.92001299999998</v>
      </c>
      <c r="F201">
        <v>334.22891199999998</v>
      </c>
      <c r="G201">
        <v>31021900</v>
      </c>
    </row>
    <row r="202" spans="1:7" x14ac:dyDescent="0.2">
      <c r="A202" s="1">
        <v>44538</v>
      </c>
      <c r="B202">
        <v>335.30999800000001</v>
      </c>
      <c r="C202">
        <v>335.5</v>
      </c>
      <c r="D202">
        <v>330.79998799999998</v>
      </c>
      <c r="E202">
        <v>334.97000100000002</v>
      </c>
      <c r="F202">
        <v>334.27880900000002</v>
      </c>
      <c r="G202">
        <v>24761000</v>
      </c>
    </row>
    <row r="203" spans="1:7" x14ac:dyDescent="0.2">
      <c r="A203" s="1">
        <v>44539</v>
      </c>
      <c r="B203">
        <v>334.41000400000001</v>
      </c>
      <c r="C203">
        <v>336.48998999999998</v>
      </c>
      <c r="D203">
        <v>332.11999500000002</v>
      </c>
      <c r="E203">
        <v>333.10000600000001</v>
      </c>
      <c r="F203">
        <v>332.41265900000002</v>
      </c>
      <c r="G203">
        <v>22214200</v>
      </c>
    </row>
    <row r="204" spans="1:7" x14ac:dyDescent="0.2">
      <c r="A204" s="1">
        <v>44540</v>
      </c>
      <c r="B204">
        <v>334.98001099999999</v>
      </c>
      <c r="C204">
        <v>343</v>
      </c>
      <c r="D204">
        <v>334.790009</v>
      </c>
      <c r="E204">
        <v>342.540009</v>
      </c>
      <c r="F204">
        <v>341.833191</v>
      </c>
      <c r="G204">
        <v>38077300</v>
      </c>
    </row>
    <row r="205" spans="1:7" x14ac:dyDescent="0.2">
      <c r="A205" s="1">
        <v>44543</v>
      </c>
      <c r="B205">
        <v>340.67999300000002</v>
      </c>
      <c r="C205">
        <v>343.790009</v>
      </c>
      <c r="D205">
        <v>339.07998700000002</v>
      </c>
      <c r="E205">
        <v>339.39999399999999</v>
      </c>
      <c r="F205">
        <v>338.69964599999997</v>
      </c>
      <c r="G205">
        <v>28899400</v>
      </c>
    </row>
    <row r="206" spans="1:7" x14ac:dyDescent="0.2">
      <c r="A206" s="1">
        <v>44544</v>
      </c>
      <c r="B206">
        <v>333.22000100000002</v>
      </c>
      <c r="C206">
        <v>334.64001500000001</v>
      </c>
      <c r="D206">
        <v>324.10998499999999</v>
      </c>
      <c r="E206">
        <v>328.33999599999999</v>
      </c>
      <c r="F206">
        <v>327.66247600000003</v>
      </c>
      <c r="G206">
        <v>44438700</v>
      </c>
    </row>
    <row r="207" spans="1:7" x14ac:dyDescent="0.2">
      <c r="A207" s="1">
        <v>44545</v>
      </c>
      <c r="B207">
        <v>328.60998499999999</v>
      </c>
      <c r="C207">
        <v>335.19000199999999</v>
      </c>
      <c r="D207">
        <v>324.5</v>
      </c>
      <c r="E207">
        <v>334.64999399999999</v>
      </c>
      <c r="F207">
        <v>333.959473</v>
      </c>
      <c r="G207">
        <v>35381100</v>
      </c>
    </row>
    <row r="208" spans="1:7" x14ac:dyDescent="0.2">
      <c r="A208" s="1">
        <v>44546</v>
      </c>
      <c r="B208">
        <v>335.709991</v>
      </c>
      <c r="C208">
        <v>336.76001000000002</v>
      </c>
      <c r="D208">
        <v>323.01998900000001</v>
      </c>
      <c r="E208">
        <v>324.89999399999999</v>
      </c>
      <c r="F208">
        <v>324.22958399999999</v>
      </c>
      <c r="G208">
        <v>35034800</v>
      </c>
    </row>
    <row r="209" spans="1:7" x14ac:dyDescent="0.2">
      <c r="A209" s="1">
        <v>44547</v>
      </c>
      <c r="B209">
        <v>320.88000499999998</v>
      </c>
      <c r="C209">
        <v>324.92001299999998</v>
      </c>
      <c r="D209">
        <v>317.25</v>
      </c>
      <c r="E209">
        <v>323.79998799999998</v>
      </c>
      <c r="F209">
        <v>323.13183600000002</v>
      </c>
      <c r="G209">
        <v>47750300</v>
      </c>
    </row>
    <row r="210" spans="1:7" x14ac:dyDescent="0.2">
      <c r="A210" s="1">
        <v>44550</v>
      </c>
      <c r="B210">
        <v>320.04998799999998</v>
      </c>
      <c r="C210">
        <v>322.79998799999998</v>
      </c>
      <c r="D210">
        <v>317.57000699999998</v>
      </c>
      <c r="E210">
        <v>319.91000400000001</v>
      </c>
      <c r="F210">
        <v>319.24987800000002</v>
      </c>
      <c r="G210">
        <v>28326500</v>
      </c>
    </row>
    <row r="211" spans="1:7" x14ac:dyDescent="0.2">
      <c r="A211" s="1">
        <v>44551</v>
      </c>
      <c r="B211">
        <v>323.290009</v>
      </c>
      <c r="C211">
        <v>327.73001099999999</v>
      </c>
      <c r="D211">
        <v>319.79998799999998</v>
      </c>
      <c r="E211">
        <v>327.290009</v>
      </c>
      <c r="F211">
        <v>326.61465500000003</v>
      </c>
      <c r="G211">
        <v>24740600</v>
      </c>
    </row>
    <row r="212" spans="1:7" x14ac:dyDescent="0.2">
      <c r="A212" s="1">
        <v>44552</v>
      </c>
      <c r="B212">
        <v>328.29998799999998</v>
      </c>
      <c r="C212">
        <v>333.60998499999999</v>
      </c>
      <c r="D212">
        <v>325.75</v>
      </c>
      <c r="E212">
        <v>333.20001200000002</v>
      </c>
      <c r="F212">
        <v>332.51248199999998</v>
      </c>
      <c r="G212">
        <v>24831500</v>
      </c>
    </row>
    <row r="213" spans="1:7" x14ac:dyDescent="0.2">
      <c r="A213" s="1">
        <v>44553</v>
      </c>
      <c r="B213">
        <v>332.75</v>
      </c>
      <c r="C213">
        <v>336.39001500000001</v>
      </c>
      <c r="D213">
        <v>332.73001099999999</v>
      </c>
      <c r="E213">
        <v>334.69000199999999</v>
      </c>
      <c r="F213">
        <v>333.99939000000001</v>
      </c>
      <c r="G213">
        <v>19617800</v>
      </c>
    </row>
    <row r="214" spans="1:7" x14ac:dyDescent="0.2">
      <c r="A214" s="1">
        <v>44557</v>
      </c>
      <c r="B214">
        <v>335.459991</v>
      </c>
      <c r="C214">
        <v>342.48001099999999</v>
      </c>
      <c r="D214">
        <v>335.42999300000002</v>
      </c>
      <c r="E214">
        <v>342.45001200000002</v>
      </c>
      <c r="F214">
        <v>341.74337800000001</v>
      </c>
      <c r="G214">
        <v>19947000</v>
      </c>
    </row>
    <row r="215" spans="1:7" x14ac:dyDescent="0.2">
      <c r="A215" s="1">
        <v>44558</v>
      </c>
      <c r="B215">
        <v>343.14999399999999</v>
      </c>
      <c r="C215">
        <v>343.80999800000001</v>
      </c>
      <c r="D215">
        <v>340.32000699999998</v>
      </c>
      <c r="E215">
        <v>341.25</v>
      </c>
      <c r="F215">
        <v>340.54583700000001</v>
      </c>
      <c r="G215">
        <v>15661500</v>
      </c>
    </row>
    <row r="216" spans="1:7" x14ac:dyDescent="0.2">
      <c r="A216" s="1">
        <v>44559</v>
      </c>
      <c r="B216">
        <v>341.29998799999998</v>
      </c>
      <c r="C216">
        <v>344.29998799999998</v>
      </c>
      <c r="D216">
        <v>339.67999300000002</v>
      </c>
      <c r="E216">
        <v>341.95001200000002</v>
      </c>
      <c r="F216">
        <v>341.244415</v>
      </c>
      <c r="G216">
        <v>15042000</v>
      </c>
    </row>
    <row r="217" spans="1:7" x14ac:dyDescent="0.2">
      <c r="A217" s="1">
        <v>44560</v>
      </c>
      <c r="B217">
        <v>341.91000400000001</v>
      </c>
      <c r="C217">
        <v>343.13000499999998</v>
      </c>
      <c r="D217">
        <v>338.82000699999998</v>
      </c>
      <c r="E217">
        <v>339.32000699999998</v>
      </c>
      <c r="F217">
        <v>338.619843</v>
      </c>
      <c r="G217">
        <v>15994500</v>
      </c>
    </row>
    <row r="218" spans="1:7" x14ac:dyDescent="0.2">
      <c r="A218" s="1">
        <v>44561</v>
      </c>
      <c r="B218">
        <v>338.51001000000002</v>
      </c>
      <c r="C218">
        <v>339.35998499999999</v>
      </c>
      <c r="D218">
        <v>335.85000600000001</v>
      </c>
      <c r="E218">
        <v>336.32000699999998</v>
      </c>
      <c r="F218">
        <v>335.62603799999999</v>
      </c>
      <c r="G218">
        <v>18000800</v>
      </c>
    </row>
    <row r="219" spans="1:7" x14ac:dyDescent="0.2">
      <c r="A219" s="1">
        <v>44564</v>
      </c>
      <c r="B219">
        <v>335.35000600000001</v>
      </c>
      <c r="C219">
        <v>338</v>
      </c>
      <c r="D219">
        <v>329.77999899999998</v>
      </c>
      <c r="E219">
        <v>334.75</v>
      </c>
      <c r="F219">
        <v>334.05926499999998</v>
      </c>
      <c r="G219">
        <v>28865100</v>
      </c>
    </row>
    <row r="220" spans="1:7" x14ac:dyDescent="0.2">
      <c r="A220" s="1">
        <v>44565</v>
      </c>
      <c r="B220">
        <v>334.82998700000002</v>
      </c>
      <c r="C220">
        <v>335.20001200000002</v>
      </c>
      <c r="D220">
        <v>326.11999500000002</v>
      </c>
      <c r="E220">
        <v>329.01001000000002</v>
      </c>
      <c r="F220">
        <v>328.33111600000001</v>
      </c>
      <c r="G220">
        <v>32674300</v>
      </c>
    </row>
    <row r="221" spans="1:7" x14ac:dyDescent="0.2">
      <c r="A221" s="1">
        <v>44566</v>
      </c>
      <c r="B221">
        <v>325.85998499999999</v>
      </c>
      <c r="C221">
        <v>326.07000699999998</v>
      </c>
      <c r="D221">
        <v>315.98001099999999</v>
      </c>
      <c r="E221">
        <v>316.38000499999998</v>
      </c>
      <c r="F221">
        <v>315.72717299999999</v>
      </c>
      <c r="G221">
        <v>40054300</v>
      </c>
    </row>
    <row r="222" spans="1:7" x14ac:dyDescent="0.2">
      <c r="A222" s="1">
        <v>44567</v>
      </c>
      <c r="B222">
        <v>313.14999399999999</v>
      </c>
      <c r="C222">
        <v>318.70001200000002</v>
      </c>
      <c r="D222">
        <v>311.48998999999998</v>
      </c>
      <c r="E222">
        <v>313.88000499999998</v>
      </c>
      <c r="F222">
        <v>313.23232999999999</v>
      </c>
      <c r="G222">
        <v>39646100</v>
      </c>
    </row>
    <row r="223" spans="1:7" x14ac:dyDescent="0.2">
      <c r="A223" s="1">
        <v>44568</v>
      </c>
      <c r="B223">
        <v>314.14999399999999</v>
      </c>
      <c r="C223">
        <v>316.5</v>
      </c>
      <c r="D223">
        <v>310.08999599999999</v>
      </c>
      <c r="E223">
        <v>314.040009</v>
      </c>
      <c r="F223">
        <v>313.391998</v>
      </c>
      <c r="G223">
        <v>32674000</v>
      </c>
    </row>
    <row r="224" spans="1:7" x14ac:dyDescent="0.2">
      <c r="A224" s="1">
        <v>44571</v>
      </c>
      <c r="B224">
        <v>309.48998999999998</v>
      </c>
      <c r="C224">
        <v>314.72000100000002</v>
      </c>
      <c r="D224">
        <v>304.69000199999999</v>
      </c>
      <c r="E224">
        <v>314.26998900000001</v>
      </c>
      <c r="F224">
        <v>313.62152099999997</v>
      </c>
      <c r="G224">
        <v>44289500</v>
      </c>
    </row>
    <row r="225" spans="1:7" x14ac:dyDescent="0.2">
      <c r="A225" s="1">
        <v>44572</v>
      </c>
      <c r="B225">
        <v>313.38000499999998</v>
      </c>
      <c r="C225">
        <v>316.60998499999999</v>
      </c>
      <c r="D225">
        <v>309.89001500000001</v>
      </c>
      <c r="E225">
        <v>314.98001099999999</v>
      </c>
      <c r="F225">
        <v>314.33007800000001</v>
      </c>
      <c r="G225">
        <v>29386800</v>
      </c>
    </row>
    <row r="226" spans="1:7" x14ac:dyDescent="0.2">
      <c r="A226" s="1">
        <v>44573</v>
      </c>
      <c r="B226">
        <v>319.67001299999998</v>
      </c>
      <c r="C226">
        <v>323.41000400000001</v>
      </c>
      <c r="D226">
        <v>317.07998700000002</v>
      </c>
      <c r="E226">
        <v>318.26998900000001</v>
      </c>
      <c r="F226">
        <v>317.61325099999999</v>
      </c>
      <c r="G226">
        <v>34372200</v>
      </c>
    </row>
    <row r="227" spans="1:7" x14ac:dyDescent="0.2">
      <c r="A227" s="1">
        <v>44574</v>
      </c>
      <c r="B227">
        <v>320.47000100000002</v>
      </c>
      <c r="C227">
        <v>320.88000499999998</v>
      </c>
      <c r="D227">
        <v>304</v>
      </c>
      <c r="E227">
        <v>304.79998799999998</v>
      </c>
      <c r="F227">
        <v>304.17105099999998</v>
      </c>
      <c r="G227">
        <v>45366000</v>
      </c>
    </row>
    <row r="228" spans="1:7" x14ac:dyDescent="0.2">
      <c r="A228" s="1">
        <v>44575</v>
      </c>
      <c r="B228">
        <v>304.25</v>
      </c>
      <c r="C228">
        <v>310.82000699999998</v>
      </c>
      <c r="D228">
        <v>303.75</v>
      </c>
      <c r="E228">
        <v>310.20001200000002</v>
      </c>
      <c r="F228">
        <v>309.55993699999999</v>
      </c>
      <c r="G228">
        <v>39823500</v>
      </c>
    </row>
    <row r="229" spans="1:7" x14ac:dyDescent="0.2">
      <c r="A229" s="1">
        <v>44579</v>
      </c>
      <c r="B229">
        <v>304.07000699999998</v>
      </c>
      <c r="C229">
        <v>309.79998799999998</v>
      </c>
      <c r="D229">
        <v>301.73998999999998</v>
      </c>
      <c r="E229">
        <v>302.64999399999999</v>
      </c>
      <c r="F229">
        <v>302.02548200000001</v>
      </c>
      <c r="G229">
        <v>42333200</v>
      </c>
    </row>
    <row r="230" spans="1:7" x14ac:dyDescent="0.2">
      <c r="A230" s="1">
        <v>44580</v>
      </c>
      <c r="B230">
        <v>306.290009</v>
      </c>
      <c r="C230">
        <v>313.91000400000001</v>
      </c>
      <c r="D230">
        <v>302.70001200000002</v>
      </c>
      <c r="E230">
        <v>303.32998700000002</v>
      </c>
      <c r="F230">
        <v>302.704071</v>
      </c>
      <c r="G230">
        <v>45933900</v>
      </c>
    </row>
    <row r="231" spans="1:7" x14ac:dyDescent="0.2">
      <c r="A231" s="1">
        <v>44581</v>
      </c>
      <c r="B231">
        <v>309.07000699999998</v>
      </c>
      <c r="C231">
        <v>311.64999399999999</v>
      </c>
      <c r="D231">
        <v>301.14001500000001</v>
      </c>
      <c r="E231">
        <v>301.60000600000001</v>
      </c>
      <c r="F231">
        <v>300.97766100000001</v>
      </c>
      <c r="G231">
        <v>35380700</v>
      </c>
    </row>
    <row r="232" spans="1:7" x14ac:dyDescent="0.2">
      <c r="A232" s="1">
        <v>44582</v>
      </c>
      <c r="B232">
        <v>302.69000199999999</v>
      </c>
      <c r="C232">
        <v>304.10998499999999</v>
      </c>
      <c r="D232">
        <v>295.60998499999999</v>
      </c>
      <c r="E232">
        <v>296.02999899999998</v>
      </c>
      <c r="F232">
        <v>295.41915899999998</v>
      </c>
      <c r="G232">
        <v>57984400</v>
      </c>
    </row>
    <row r="233" spans="1:7" x14ac:dyDescent="0.2">
      <c r="A233" s="1">
        <v>44585</v>
      </c>
      <c r="B233">
        <v>292.20001200000002</v>
      </c>
      <c r="C233">
        <v>297.10998499999999</v>
      </c>
      <c r="D233">
        <v>276.04998799999998</v>
      </c>
      <c r="E233">
        <v>296.36999500000002</v>
      </c>
      <c r="F233">
        <v>295.75845299999997</v>
      </c>
      <c r="G233">
        <v>85731500</v>
      </c>
    </row>
    <row r="234" spans="1:7" x14ac:dyDescent="0.2">
      <c r="A234" s="1">
        <v>44586</v>
      </c>
      <c r="B234">
        <v>291.51998900000001</v>
      </c>
      <c r="C234">
        <v>294.98998999999998</v>
      </c>
      <c r="D234">
        <v>285.17001299999998</v>
      </c>
      <c r="E234">
        <v>288.48998999999998</v>
      </c>
      <c r="F234">
        <v>287.89471400000002</v>
      </c>
      <c r="G234">
        <v>72848600</v>
      </c>
    </row>
    <row r="235" spans="1:7" x14ac:dyDescent="0.2">
      <c r="A235" s="1">
        <v>44587</v>
      </c>
      <c r="B235">
        <v>307.98998999999998</v>
      </c>
      <c r="C235">
        <v>308.5</v>
      </c>
      <c r="D235">
        <v>293.02999899999998</v>
      </c>
      <c r="E235">
        <v>296.709991</v>
      </c>
      <c r="F235">
        <v>296.09774800000002</v>
      </c>
      <c r="G235">
        <v>90428900</v>
      </c>
    </row>
    <row r="236" spans="1:7" x14ac:dyDescent="0.2">
      <c r="A236" s="1">
        <v>44588</v>
      </c>
      <c r="B236">
        <v>302.66000400000001</v>
      </c>
      <c r="C236">
        <v>307.29998799999998</v>
      </c>
      <c r="D236">
        <v>297.92999300000002</v>
      </c>
      <c r="E236">
        <v>299.83999599999999</v>
      </c>
      <c r="F236">
        <v>299.22128300000003</v>
      </c>
      <c r="G236">
        <v>53481300</v>
      </c>
    </row>
    <row r="237" spans="1:7" x14ac:dyDescent="0.2">
      <c r="A237" s="1">
        <v>44589</v>
      </c>
      <c r="B237">
        <v>300.23001099999999</v>
      </c>
      <c r="C237">
        <v>308.48001099999999</v>
      </c>
      <c r="D237">
        <v>294.45001200000002</v>
      </c>
      <c r="E237">
        <v>308.26001000000002</v>
      </c>
      <c r="F237">
        <v>307.62393200000002</v>
      </c>
      <c r="G237">
        <v>49743700</v>
      </c>
    </row>
    <row r="238" spans="1:7" x14ac:dyDescent="0.2">
      <c r="A238" s="1">
        <v>44592</v>
      </c>
      <c r="B238">
        <v>308.95001200000002</v>
      </c>
      <c r="C238">
        <v>312.38000499999998</v>
      </c>
      <c r="D238">
        <v>306.36999500000002</v>
      </c>
      <c r="E238">
        <v>310.98001099999999</v>
      </c>
      <c r="F238">
        <v>310.33831800000002</v>
      </c>
      <c r="G238">
        <v>46444500</v>
      </c>
    </row>
    <row r="239" spans="1:7" x14ac:dyDescent="0.2">
      <c r="A239" s="1">
        <v>44593</v>
      </c>
      <c r="B239">
        <v>310.41000400000001</v>
      </c>
      <c r="C239">
        <v>310.63000499999998</v>
      </c>
      <c r="D239">
        <v>305.13000499999998</v>
      </c>
      <c r="E239">
        <v>308.76001000000002</v>
      </c>
      <c r="F239">
        <v>308.12289399999997</v>
      </c>
      <c r="G239">
        <v>40950400</v>
      </c>
    </row>
    <row r="240" spans="1:7" x14ac:dyDescent="0.2">
      <c r="A240" s="1">
        <v>44594</v>
      </c>
      <c r="B240">
        <v>309.63000499999998</v>
      </c>
      <c r="C240">
        <v>315.11999500000002</v>
      </c>
      <c r="D240">
        <v>308.88000499999998</v>
      </c>
      <c r="E240">
        <v>313.459991</v>
      </c>
      <c r="F240">
        <v>312.81317100000001</v>
      </c>
      <c r="G240">
        <v>36636000</v>
      </c>
    </row>
    <row r="241" spans="1:7" x14ac:dyDescent="0.2">
      <c r="A241" s="1">
        <v>44595</v>
      </c>
      <c r="B241">
        <v>309.48998999999998</v>
      </c>
      <c r="C241">
        <v>311.23001099999999</v>
      </c>
      <c r="D241">
        <v>299.959991</v>
      </c>
      <c r="E241">
        <v>301.25</v>
      </c>
      <c r="F241">
        <v>300.62838699999998</v>
      </c>
      <c r="G241">
        <v>43730000</v>
      </c>
    </row>
    <row r="242" spans="1:7" x14ac:dyDescent="0.2">
      <c r="A242" s="1">
        <v>44596</v>
      </c>
      <c r="B242">
        <v>300.209991</v>
      </c>
      <c r="C242">
        <v>308.79998799999998</v>
      </c>
      <c r="D242">
        <v>299.97000100000002</v>
      </c>
      <c r="E242">
        <v>305.94000199999999</v>
      </c>
      <c r="F242">
        <v>305.308716</v>
      </c>
      <c r="G242">
        <v>35070300</v>
      </c>
    </row>
    <row r="243" spans="1:7" x14ac:dyDescent="0.2">
      <c r="A243" s="1">
        <v>44599</v>
      </c>
      <c r="B243">
        <v>306.17001299999998</v>
      </c>
      <c r="C243">
        <v>307.83999599999999</v>
      </c>
      <c r="D243">
        <v>299.89999399999999</v>
      </c>
      <c r="E243">
        <v>300.95001200000002</v>
      </c>
      <c r="F243">
        <v>300.32900999999998</v>
      </c>
      <c r="G243">
        <v>28533300</v>
      </c>
    </row>
    <row r="244" spans="1:7" x14ac:dyDescent="0.2">
      <c r="A244" s="1">
        <v>44600</v>
      </c>
      <c r="B244">
        <v>301.25</v>
      </c>
      <c r="C244">
        <v>305.55999800000001</v>
      </c>
      <c r="D244">
        <v>299.95001200000002</v>
      </c>
      <c r="E244">
        <v>304.55999800000001</v>
      </c>
      <c r="F244">
        <v>303.93154900000002</v>
      </c>
      <c r="G244">
        <v>32421200</v>
      </c>
    </row>
    <row r="245" spans="1:7" x14ac:dyDescent="0.2">
      <c r="A245" s="1">
        <v>44601</v>
      </c>
      <c r="B245">
        <v>309.86999500000002</v>
      </c>
      <c r="C245">
        <v>311.92999300000002</v>
      </c>
      <c r="D245">
        <v>307.39001500000001</v>
      </c>
      <c r="E245">
        <v>311.209991</v>
      </c>
      <c r="F245">
        <v>310.56781000000001</v>
      </c>
      <c r="G245">
        <v>31284700</v>
      </c>
    </row>
    <row r="246" spans="1:7" x14ac:dyDescent="0.2">
      <c r="A246" s="1">
        <v>44602</v>
      </c>
      <c r="B246">
        <v>304.040009</v>
      </c>
      <c r="C246">
        <v>309.11999500000002</v>
      </c>
      <c r="D246">
        <v>300.70001200000002</v>
      </c>
      <c r="E246">
        <v>302.38000499999998</v>
      </c>
      <c r="F246">
        <v>301.75607300000001</v>
      </c>
      <c r="G246">
        <v>45386200</v>
      </c>
    </row>
    <row r="247" spans="1:7" x14ac:dyDescent="0.2">
      <c r="A247" s="1">
        <v>44603</v>
      </c>
      <c r="B247">
        <v>303.19000199999999</v>
      </c>
      <c r="C247">
        <v>304.290009</v>
      </c>
      <c r="D247">
        <v>294.22000100000002</v>
      </c>
      <c r="E247">
        <v>295.040009</v>
      </c>
      <c r="F247">
        <v>294.43121300000001</v>
      </c>
      <c r="G247">
        <v>39143900</v>
      </c>
    </row>
    <row r="248" spans="1:7" x14ac:dyDescent="0.2">
      <c r="A248" s="1">
        <v>44606</v>
      </c>
      <c r="B248">
        <v>293.76998900000001</v>
      </c>
      <c r="C248">
        <v>296.76001000000002</v>
      </c>
      <c r="D248">
        <v>291.35000600000001</v>
      </c>
      <c r="E248">
        <v>295</v>
      </c>
      <c r="F248">
        <v>294.39129600000001</v>
      </c>
      <c r="G248">
        <v>36359500</v>
      </c>
    </row>
    <row r="249" spans="1:7" x14ac:dyDescent="0.2">
      <c r="A249" s="1">
        <v>44607</v>
      </c>
      <c r="B249">
        <v>300.01001000000002</v>
      </c>
      <c r="C249">
        <v>300.79998799999998</v>
      </c>
      <c r="D249">
        <v>297.01998900000001</v>
      </c>
      <c r="E249">
        <v>300.47000100000002</v>
      </c>
      <c r="F249">
        <v>299.85000600000001</v>
      </c>
      <c r="G249">
        <v>27379500</v>
      </c>
    </row>
    <row r="250" spans="1:7" x14ac:dyDescent="0.2">
      <c r="A250" s="1">
        <v>44608</v>
      </c>
      <c r="B250">
        <v>298.36999500000002</v>
      </c>
      <c r="C250">
        <v>300.86999500000002</v>
      </c>
      <c r="D250">
        <v>293.67999300000002</v>
      </c>
      <c r="E250">
        <v>299.5</v>
      </c>
      <c r="F250">
        <v>299.5</v>
      </c>
      <c r="G250">
        <v>29982100</v>
      </c>
    </row>
    <row r="251" spans="1:7" x14ac:dyDescent="0.2">
      <c r="A251" s="1">
        <v>44609</v>
      </c>
      <c r="B251">
        <v>296.35998499999999</v>
      </c>
      <c r="C251">
        <v>296.79998799999998</v>
      </c>
      <c r="D251">
        <v>290</v>
      </c>
      <c r="E251">
        <v>290.73001099999999</v>
      </c>
      <c r="F251">
        <v>290.73001099999999</v>
      </c>
      <c r="G251">
        <v>32461600</v>
      </c>
    </row>
    <row r="252" spans="1:7" x14ac:dyDescent="0.2">
      <c r="A252" s="1">
        <v>44610</v>
      </c>
      <c r="B252">
        <v>293.04998799999998</v>
      </c>
      <c r="C252">
        <v>293.85998499999999</v>
      </c>
      <c r="D252">
        <v>286.30999800000001</v>
      </c>
      <c r="E252">
        <v>287.92999300000002</v>
      </c>
      <c r="F252">
        <v>287.92999300000002</v>
      </c>
      <c r="G252">
        <v>34223200</v>
      </c>
    </row>
    <row r="253" spans="1:7" x14ac:dyDescent="0.2">
      <c r="A253" s="1">
        <v>44614</v>
      </c>
      <c r="B253">
        <v>285</v>
      </c>
      <c r="C253">
        <v>291.540009</v>
      </c>
      <c r="D253">
        <v>284.5</v>
      </c>
      <c r="E253">
        <v>287.72000100000002</v>
      </c>
      <c r="F253">
        <v>287.72000100000002</v>
      </c>
      <c r="G253">
        <v>41736100</v>
      </c>
    </row>
    <row r="254" spans="1:7" x14ac:dyDescent="0.2">
      <c r="A254" s="1">
        <v>44615</v>
      </c>
      <c r="B254">
        <v>290.17999300000002</v>
      </c>
      <c r="C254">
        <v>291.70001200000002</v>
      </c>
      <c r="D254">
        <v>280.10000600000001</v>
      </c>
      <c r="E254">
        <v>280.26998900000001</v>
      </c>
      <c r="F254">
        <v>280.26998900000001</v>
      </c>
      <c r="G254">
        <v>37670600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CF75C-098F-494E-89C8-8738A902E5E0}">
  <sheetPr codeName="Sheet4"/>
  <dimension ref="A1:U254"/>
  <sheetViews>
    <sheetView topLeftCell="A220" workbookViewId="0">
      <selection activeCell="J12" sqref="J12"/>
    </sheetView>
  </sheetViews>
  <sheetFormatPr baseColWidth="10" defaultRowHeight="16" x14ac:dyDescent="0.2"/>
  <cols>
    <col min="1" max="1" width="8.83203125" bestFit="1" customWidth="1"/>
    <col min="2" max="6" width="11.1640625" bestFit="1" customWidth="1"/>
    <col min="7" max="7" width="10.1640625" bestFit="1" customWidth="1"/>
    <col min="8" max="8" width="10.83203125" style="8"/>
    <col min="10" max="10" width="10.83203125" style="8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8" t="s">
        <v>11</v>
      </c>
      <c r="I1" t="s">
        <v>10</v>
      </c>
      <c r="J1" s="8" t="s">
        <v>12</v>
      </c>
    </row>
    <row r="2" spans="1:21" x14ac:dyDescent="0.2">
      <c r="A2" s="1">
        <v>44239</v>
      </c>
      <c r="B2">
        <v>389.85000600000001</v>
      </c>
      <c r="C2">
        <v>392.89999399999999</v>
      </c>
      <c r="D2">
        <v>389.76998900000001</v>
      </c>
      <c r="E2">
        <v>392.64001500000001</v>
      </c>
      <c r="F2">
        <v>387.47503699999999</v>
      </c>
      <c r="G2">
        <v>50593300</v>
      </c>
      <c r="H2" s="8">
        <f>(SPY[[#This Row],[Open]]-SPY[[#This Row],[Close]])/SPY[[#This Row],[Open]] * 100</f>
        <v>-0.71566216674625305</v>
      </c>
      <c r="I2">
        <f>IF(SPY[[#This Row],[Volume]] &gt; 71975900+ 1.5 * 42542200, SPY[[#This Row],[Gain]], 0)</f>
        <v>0</v>
      </c>
      <c r="J2" s="8">
        <f>IF(SPY[[#This Row],[Volume]] &lt; 79378480 - 1.5 * 42542200, SPY[[#This Row],[Gain]], 0)</f>
        <v>0</v>
      </c>
      <c r="S2">
        <f>SUM(G:G)/255</f>
        <v>79378480</v>
      </c>
    </row>
    <row r="3" spans="1:21" x14ac:dyDescent="0.2">
      <c r="A3" s="1">
        <v>44243</v>
      </c>
      <c r="B3">
        <v>393.959991</v>
      </c>
      <c r="C3">
        <v>394.17001299999998</v>
      </c>
      <c r="D3">
        <v>391.52999899999998</v>
      </c>
      <c r="E3">
        <v>392.29998799999998</v>
      </c>
      <c r="F3">
        <v>387.13952599999999</v>
      </c>
      <c r="G3">
        <v>50972400</v>
      </c>
      <c r="H3" s="8">
        <f>(SPY[[#This Row],[Open]]-SPY[[#This Row],[Close]])/SPY[[#This Row],[Open]] * 100</f>
        <v>0.42136334600536057</v>
      </c>
      <c r="I3">
        <f>IF(SPY[[#This Row],[Volume]] &gt; 71975900+ 1.5 * 42542200, SPY[[#This Row],[Gain]], 0)</f>
        <v>0</v>
      </c>
      <c r="J3" s="8">
        <f>IF(SPY[[#This Row],[Volume]] &lt; 79378480 - 1.5 * 42542200, SPY[[#This Row],[Gain]], 0)</f>
        <v>0</v>
      </c>
    </row>
    <row r="4" spans="1:21" x14ac:dyDescent="0.2">
      <c r="A4" s="1">
        <v>44244</v>
      </c>
      <c r="B4">
        <v>390.42001299999998</v>
      </c>
      <c r="C4">
        <v>392.66000400000001</v>
      </c>
      <c r="D4">
        <v>389.32998700000002</v>
      </c>
      <c r="E4">
        <v>392.39001500000001</v>
      </c>
      <c r="F4">
        <v>387.22833300000002</v>
      </c>
      <c r="G4">
        <v>52290600</v>
      </c>
      <c r="H4" s="8">
        <f>(SPY[[#This Row],[Open]]-SPY[[#This Row],[Close]])/SPY[[#This Row],[Open]] * 100</f>
        <v>-0.50458530157367276</v>
      </c>
      <c r="I4">
        <f>IF(SPY[[#This Row],[Volume]] &gt; 71975900+ 1.5 * 42542200, SPY[[#This Row],[Gain]], 0)</f>
        <v>0</v>
      </c>
      <c r="J4" s="8">
        <f>IF(SPY[[#This Row],[Volume]] &lt; 79378480 - 1.5 * 42542200, SPY[[#This Row],[Gain]], 0)</f>
        <v>0</v>
      </c>
    </row>
    <row r="5" spans="1:21" x14ac:dyDescent="0.2">
      <c r="A5" s="1">
        <v>44245</v>
      </c>
      <c r="B5">
        <v>389.58999599999999</v>
      </c>
      <c r="C5">
        <v>391.51998900000001</v>
      </c>
      <c r="D5">
        <v>387.73998999999998</v>
      </c>
      <c r="E5">
        <v>390.72000100000002</v>
      </c>
      <c r="F5">
        <v>385.58029199999999</v>
      </c>
      <c r="G5">
        <v>59712800</v>
      </c>
      <c r="H5" s="8">
        <f>(SPY[[#This Row],[Open]]-SPY[[#This Row],[Close]])/SPY[[#This Row],[Open]] * 100</f>
        <v>-0.29004979891733146</v>
      </c>
      <c r="I5">
        <f>IF(SPY[[#This Row],[Volume]] &gt; 71975900+ 1.5 * 42542200, SPY[[#This Row],[Gain]], 0)</f>
        <v>0</v>
      </c>
      <c r="J5" s="8">
        <f>IF(SPY[[#This Row],[Volume]] &lt; 79378480 - 1.5 * 42542200, SPY[[#This Row],[Gain]], 0)</f>
        <v>0</v>
      </c>
      <c r="S5">
        <f>_xlfn.QUARTILE.EXC(G:G,1)</f>
        <v>55049700</v>
      </c>
      <c r="T5">
        <f>_xlfn.QUARTILE.EXC(G:G,2)</f>
        <v>71975900</v>
      </c>
      <c r="U5">
        <f>_xlfn.QUARTILE.EXC(SPY[Volume],3)</f>
        <v>97591900</v>
      </c>
    </row>
    <row r="6" spans="1:21" x14ac:dyDescent="0.2">
      <c r="A6" s="1">
        <v>44246</v>
      </c>
      <c r="B6">
        <v>392.07000699999998</v>
      </c>
      <c r="C6">
        <v>392.38000499999998</v>
      </c>
      <c r="D6">
        <v>389.54998799999998</v>
      </c>
      <c r="E6">
        <v>390.02999899999998</v>
      </c>
      <c r="F6">
        <v>384.89935300000002</v>
      </c>
      <c r="G6">
        <v>83241000</v>
      </c>
      <c r="H6" s="8">
        <f>(SPY[[#This Row],[Open]]-SPY[[#This Row],[Close]])/SPY[[#This Row],[Open]] * 100</f>
        <v>0.5203172809900759</v>
      </c>
      <c r="I6">
        <f>IF(SPY[[#This Row],[Volume]] &gt; 71975900+ 1.5 * 42542200, SPY[[#This Row],[Gain]], 0)</f>
        <v>0</v>
      </c>
      <c r="J6" s="8">
        <f>IF(SPY[[#This Row],[Volume]] &lt; 79378480 - 1.5 * 42542200, SPY[[#This Row],[Gain]], 0)</f>
        <v>0</v>
      </c>
    </row>
    <row r="7" spans="1:21" x14ac:dyDescent="0.2">
      <c r="A7" s="1">
        <v>44249</v>
      </c>
      <c r="B7">
        <v>387.05999800000001</v>
      </c>
      <c r="C7">
        <v>389.61999500000002</v>
      </c>
      <c r="D7">
        <v>386.73998999999998</v>
      </c>
      <c r="E7">
        <v>387.02999899999998</v>
      </c>
      <c r="F7">
        <v>381.93881199999998</v>
      </c>
      <c r="G7">
        <v>67414200</v>
      </c>
      <c r="H7" s="8">
        <f>(SPY[[#This Row],[Open]]-SPY[[#This Row],[Close]])/SPY[[#This Row],[Open]] * 100</f>
        <v>7.750478002129294E-3</v>
      </c>
      <c r="I7">
        <f>IF(SPY[[#This Row],[Volume]] &gt; 71975900+ 1.5 * 42542200, SPY[[#This Row],[Gain]], 0)</f>
        <v>0</v>
      </c>
      <c r="J7" s="8">
        <f>IF(SPY[[#This Row],[Volume]] &lt; 79378480 - 1.5 * 42542200, SPY[[#This Row],[Gain]], 0)</f>
        <v>0</v>
      </c>
    </row>
    <row r="8" spans="1:21" x14ac:dyDescent="0.2">
      <c r="A8" s="1">
        <v>44250</v>
      </c>
      <c r="B8">
        <v>384.66000400000001</v>
      </c>
      <c r="C8">
        <v>388.95001200000002</v>
      </c>
      <c r="D8">
        <v>380.20001200000002</v>
      </c>
      <c r="E8">
        <v>387.5</v>
      </c>
      <c r="F8">
        <v>382.40261800000002</v>
      </c>
      <c r="G8">
        <v>107284100</v>
      </c>
      <c r="H8" s="8">
        <f>(SPY[[#This Row],[Open]]-SPY[[#This Row],[Close]])/SPY[[#This Row],[Open]] * 100</f>
        <v>-0.73831330797781225</v>
      </c>
      <c r="I8">
        <f>IF(SPY[[#This Row],[Volume]] &gt; 71975900+ 1.5 * 42542200, SPY[[#This Row],[Gain]], 0)</f>
        <v>0</v>
      </c>
      <c r="J8" s="8">
        <f>IF(SPY[[#This Row],[Volume]] &lt; 79378480 - 1.5 * 42542200, SPY[[#This Row],[Gain]], 0)</f>
        <v>0</v>
      </c>
      <c r="S8">
        <f>U5-S5</f>
        <v>42542200</v>
      </c>
    </row>
    <row r="9" spans="1:21" x14ac:dyDescent="0.2">
      <c r="A9" s="1">
        <v>44251</v>
      </c>
      <c r="B9">
        <v>386.32998700000002</v>
      </c>
      <c r="C9">
        <v>392.23001099999999</v>
      </c>
      <c r="D9">
        <v>385.26998900000001</v>
      </c>
      <c r="E9">
        <v>391.76998900000001</v>
      </c>
      <c r="F9">
        <v>386.61645499999997</v>
      </c>
      <c r="G9">
        <v>72433900</v>
      </c>
      <c r="H9" s="8">
        <f>(SPY[[#This Row],[Open]]-SPY[[#This Row],[Close]])/SPY[[#This Row],[Open]] * 100</f>
        <v>-1.408123154571481</v>
      </c>
      <c r="I9">
        <f>IF(SPY[[#This Row],[Volume]] &gt; 71975900+ 1.5 * 42542200, SPY[[#This Row],[Gain]], 0)</f>
        <v>0</v>
      </c>
      <c r="J9" s="8">
        <f>IF(SPY[[#This Row],[Volume]] &lt; 79378480 - 1.5 * 42542200, SPY[[#This Row],[Gain]], 0)</f>
        <v>0</v>
      </c>
    </row>
    <row r="10" spans="1:21" x14ac:dyDescent="0.2">
      <c r="A10" s="1">
        <v>44252</v>
      </c>
      <c r="B10">
        <v>390.41000400000001</v>
      </c>
      <c r="C10">
        <v>391.88000499999998</v>
      </c>
      <c r="D10">
        <v>380.77999899999998</v>
      </c>
      <c r="E10">
        <v>382.32998700000002</v>
      </c>
      <c r="F10">
        <v>377.30062900000001</v>
      </c>
      <c r="G10">
        <v>146670500</v>
      </c>
      <c r="H10" s="8">
        <f>(SPY[[#This Row],[Open]]-SPY[[#This Row],[Close]])/SPY[[#This Row],[Open]] * 100</f>
        <v>2.0696234515547909</v>
      </c>
      <c r="I10">
        <f>IF(SPY[[#This Row],[Volume]] &gt; 71975900+ 1.5 * 42542200, SPY[[#This Row],[Gain]], 0)</f>
        <v>2.0696234515547909</v>
      </c>
      <c r="J10" s="8">
        <f>IF(SPY[[#This Row],[Volume]] &lt; 79378480 - 1.5 * 42542200, SPY[[#This Row],[Gain]], 0)</f>
        <v>0</v>
      </c>
    </row>
    <row r="11" spans="1:21" x14ac:dyDescent="0.2">
      <c r="A11" s="1">
        <v>44253</v>
      </c>
      <c r="B11">
        <v>384.35000600000001</v>
      </c>
      <c r="C11">
        <v>385.57998700000002</v>
      </c>
      <c r="D11">
        <v>378.23001099999999</v>
      </c>
      <c r="E11">
        <v>380.35998499999999</v>
      </c>
      <c r="F11">
        <v>375.356537</v>
      </c>
      <c r="G11">
        <v>152701600</v>
      </c>
      <c r="H11" s="8">
        <f>(SPY[[#This Row],[Open]]-SPY[[#This Row],[Close]])/SPY[[#This Row],[Open]] * 100</f>
        <v>1.0381217478112938</v>
      </c>
      <c r="I11">
        <f>IF(SPY[[#This Row],[Volume]] &gt; 71975900+ 1.5 * 42542200, SPY[[#This Row],[Gain]], 0)</f>
        <v>1.0381217478112938</v>
      </c>
      <c r="J11" s="8">
        <f>IF(SPY[[#This Row],[Volume]] &lt; 79378480 - 1.5 * 42542200, SPY[[#This Row],[Gain]], 0)</f>
        <v>0</v>
      </c>
    </row>
    <row r="12" spans="1:21" x14ac:dyDescent="0.2">
      <c r="A12" s="1">
        <v>44256</v>
      </c>
      <c r="B12">
        <v>385.58999599999999</v>
      </c>
      <c r="C12">
        <v>390.92001299999998</v>
      </c>
      <c r="D12">
        <v>380.57000699999998</v>
      </c>
      <c r="E12">
        <v>389.57998700000002</v>
      </c>
      <c r="F12">
        <v>384.45526100000001</v>
      </c>
      <c r="G12">
        <v>105348800</v>
      </c>
      <c r="H12" s="8">
        <f>(SPY[[#This Row],[Open]]-SPY[[#This Row],[Close]])/SPY[[#This Row],[Open]] * 100</f>
        <v>-1.0347755495191924</v>
      </c>
      <c r="I12">
        <f>IF(SPY[[#This Row],[Volume]] &gt; 71975900+ 1.5 * 42542200, SPY[[#This Row],[Gain]], 0)</f>
        <v>0</v>
      </c>
      <c r="J12" s="8">
        <f>IF(SPY[[#This Row],[Volume]] &lt; 79378480 - 1.5 * 42542200, SPY[[#This Row],[Gain]], 0)</f>
        <v>0</v>
      </c>
    </row>
    <row r="13" spans="1:21" x14ac:dyDescent="0.2">
      <c r="A13" s="1">
        <v>44257</v>
      </c>
      <c r="B13">
        <v>389.82000699999998</v>
      </c>
      <c r="C13">
        <v>390.07000699999998</v>
      </c>
      <c r="D13">
        <v>386</v>
      </c>
      <c r="E13">
        <v>386.540009</v>
      </c>
      <c r="F13">
        <v>381.45529199999999</v>
      </c>
      <c r="G13">
        <v>79595300</v>
      </c>
      <c r="H13" s="8">
        <f>(SPY[[#This Row],[Open]]-SPY[[#This Row],[Close]])/SPY[[#This Row],[Open]] * 100</f>
        <v>0.84141345777564924</v>
      </c>
      <c r="I13">
        <f>IF(SPY[[#This Row],[Volume]] &gt; 71975900+ 1.5 * 42542200, SPY[[#This Row],[Gain]], 0)</f>
        <v>0</v>
      </c>
      <c r="J13" s="8">
        <f>IF(SPY[[#This Row],[Volume]] &lt; 79378480 - 1.5 * 42542200, SPY[[#This Row],[Gain]], 0)</f>
        <v>0</v>
      </c>
    </row>
    <row r="14" spans="1:21" x14ac:dyDescent="0.2">
      <c r="A14" s="1">
        <v>44258</v>
      </c>
      <c r="B14">
        <v>385.790009</v>
      </c>
      <c r="C14">
        <v>386.82998700000002</v>
      </c>
      <c r="D14">
        <v>381.30999800000001</v>
      </c>
      <c r="E14">
        <v>381.42001299999998</v>
      </c>
      <c r="F14">
        <v>376.402649</v>
      </c>
      <c r="G14">
        <v>119940200</v>
      </c>
      <c r="H14" s="8">
        <f>(SPY[[#This Row],[Open]]-SPY[[#This Row],[Close]])/SPY[[#This Row],[Open]] * 100</f>
        <v>1.132739546917612</v>
      </c>
      <c r="I14">
        <f>IF(SPY[[#This Row],[Volume]] &gt; 71975900+ 1.5 * 42542200, SPY[[#This Row],[Gain]], 0)</f>
        <v>0</v>
      </c>
      <c r="J14" s="8">
        <f>IF(SPY[[#This Row],[Volume]] &lt; 79378480 - 1.5 * 42542200, SPY[[#This Row],[Gain]], 0)</f>
        <v>0</v>
      </c>
    </row>
    <row r="15" spans="1:21" x14ac:dyDescent="0.2">
      <c r="A15" s="1">
        <v>44259</v>
      </c>
      <c r="B15">
        <v>381.22000100000002</v>
      </c>
      <c r="C15">
        <v>384</v>
      </c>
      <c r="D15">
        <v>371.88000499999998</v>
      </c>
      <c r="E15">
        <v>376.70001200000002</v>
      </c>
      <c r="F15">
        <v>371.74471999999997</v>
      </c>
      <c r="G15">
        <v>183433000</v>
      </c>
      <c r="H15" s="8">
        <f>(SPY[[#This Row],[Open]]-SPY[[#This Row],[Close]])/SPY[[#This Row],[Open]] * 100</f>
        <v>1.1856641803009726</v>
      </c>
      <c r="I15">
        <f>IF(SPY[[#This Row],[Volume]] &gt; 71975900+ 1.5 * 42542200, SPY[[#This Row],[Gain]], 0)</f>
        <v>1.1856641803009726</v>
      </c>
      <c r="J15" s="8">
        <f>IF(SPY[[#This Row],[Volume]] &lt; 79378480 - 1.5 * 42542200, SPY[[#This Row],[Gain]], 0)</f>
        <v>0</v>
      </c>
    </row>
    <row r="16" spans="1:21" x14ac:dyDescent="0.2">
      <c r="A16" s="1">
        <v>44260</v>
      </c>
      <c r="B16">
        <v>380.459991</v>
      </c>
      <c r="C16">
        <v>384.76001000000002</v>
      </c>
      <c r="D16">
        <v>372.64001500000001</v>
      </c>
      <c r="E16">
        <v>383.63000499999998</v>
      </c>
      <c r="F16">
        <v>378.58355699999998</v>
      </c>
      <c r="G16">
        <v>152039600</v>
      </c>
      <c r="H16" s="8">
        <f>(SPY[[#This Row],[Open]]-SPY[[#This Row],[Close]])/SPY[[#This Row],[Open]] * 100</f>
        <v>-0.83320561293920137</v>
      </c>
      <c r="I16">
        <f>IF(SPY[[#This Row],[Volume]] &gt; 71975900+ 1.5 * 42542200, SPY[[#This Row],[Gain]], 0)</f>
        <v>-0.83320561293920137</v>
      </c>
      <c r="J16" s="8">
        <f>IF(SPY[[#This Row],[Volume]] &lt; 79378480 - 1.5 * 42542200, SPY[[#This Row],[Gain]], 0)</f>
        <v>0</v>
      </c>
    </row>
    <row r="17" spans="1:10" x14ac:dyDescent="0.2">
      <c r="A17" s="1">
        <v>44263</v>
      </c>
      <c r="B17">
        <v>384.66000400000001</v>
      </c>
      <c r="C17">
        <v>387.67999300000002</v>
      </c>
      <c r="D17">
        <v>381.42001299999998</v>
      </c>
      <c r="E17">
        <v>381.72000100000002</v>
      </c>
      <c r="F17">
        <v>376.698669</v>
      </c>
      <c r="G17">
        <v>123149200</v>
      </c>
      <c r="H17" s="8">
        <f>(SPY[[#This Row],[Open]]-SPY[[#This Row],[Close]])/SPY[[#This Row],[Open]] * 100</f>
        <v>0.76431211184617731</v>
      </c>
      <c r="I17">
        <f>IF(SPY[[#This Row],[Volume]] &gt; 71975900+ 1.5 * 42542200, SPY[[#This Row],[Gain]], 0)</f>
        <v>0</v>
      </c>
      <c r="J17" s="8">
        <f>IF(SPY[[#This Row],[Volume]] &lt; 79378480 - 1.5 * 42542200, SPY[[#This Row],[Gain]], 0)</f>
        <v>0</v>
      </c>
    </row>
    <row r="18" spans="1:10" x14ac:dyDescent="0.2">
      <c r="A18" s="1">
        <v>44264</v>
      </c>
      <c r="B18">
        <v>385.85000600000001</v>
      </c>
      <c r="C18">
        <v>389.91000400000001</v>
      </c>
      <c r="D18">
        <v>385.30999800000001</v>
      </c>
      <c r="E18">
        <v>387.17001299999998</v>
      </c>
      <c r="F18">
        <v>382.07699600000001</v>
      </c>
      <c r="G18">
        <v>113633600</v>
      </c>
      <c r="H18" s="8">
        <f>(SPY[[#This Row],[Open]]-SPY[[#This Row],[Close]])/SPY[[#This Row],[Open]] * 100</f>
        <v>-0.34210366190845037</v>
      </c>
      <c r="I18">
        <f>IF(SPY[[#This Row],[Volume]] &gt; 71975900+ 1.5 * 42542200, SPY[[#This Row],[Gain]], 0)</f>
        <v>0</v>
      </c>
      <c r="J18" s="8">
        <f>IF(SPY[[#This Row],[Volume]] &lt; 79378480 - 1.5 * 42542200, SPY[[#This Row],[Gain]], 0)</f>
        <v>0</v>
      </c>
    </row>
    <row r="19" spans="1:10" x14ac:dyDescent="0.2">
      <c r="A19" s="1">
        <v>44265</v>
      </c>
      <c r="B19">
        <v>389.69000199999999</v>
      </c>
      <c r="C19">
        <v>391.39999399999999</v>
      </c>
      <c r="D19">
        <v>388.17001299999998</v>
      </c>
      <c r="E19">
        <v>389.57998700000002</v>
      </c>
      <c r="F19">
        <v>384.45526100000001</v>
      </c>
      <c r="G19">
        <v>109899400</v>
      </c>
      <c r="H19" s="8">
        <f>(SPY[[#This Row],[Open]]-SPY[[#This Row],[Close]])/SPY[[#This Row],[Open]] * 100</f>
        <v>2.8231414569362182E-2</v>
      </c>
      <c r="I19">
        <f>IF(SPY[[#This Row],[Volume]] &gt; 71975900+ 1.5 * 42542200, SPY[[#This Row],[Gain]], 0)</f>
        <v>0</v>
      </c>
      <c r="J19" s="8">
        <f>IF(SPY[[#This Row],[Volume]] &lt; 79378480 - 1.5 * 42542200, SPY[[#This Row],[Gain]], 0)</f>
        <v>0</v>
      </c>
    </row>
    <row r="20" spans="1:10" x14ac:dyDescent="0.2">
      <c r="A20" s="1">
        <v>44266</v>
      </c>
      <c r="B20">
        <v>392.23001099999999</v>
      </c>
      <c r="C20">
        <v>395.64999399999999</v>
      </c>
      <c r="D20">
        <v>391.73998999999998</v>
      </c>
      <c r="E20">
        <v>393.52999899999998</v>
      </c>
      <c r="F20">
        <v>388.35330199999999</v>
      </c>
      <c r="G20">
        <v>86245000</v>
      </c>
      <c r="H20" s="8">
        <f>(SPY[[#This Row],[Open]]-SPY[[#This Row],[Close]])/SPY[[#This Row],[Open]] * 100</f>
        <v>-0.33143511805372405</v>
      </c>
      <c r="I20">
        <f>IF(SPY[[#This Row],[Volume]] &gt; 71975900+ 1.5 * 42542200, SPY[[#This Row],[Gain]], 0)</f>
        <v>0</v>
      </c>
      <c r="J20" s="8">
        <f>IF(SPY[[#This Row],[Volume]] &lt; 79378480 - 1.5 * 42542200, SPY[[#This Row],[Gain]], 0)</f>
        <v>0</v>
      </c>
    </row>
    <row r="21" spans="1:10" x14ac:dyDescent="0.2">
      <c r="A21" s="1">
        <v>44267</v>
      </c>
      <c r="B21">
        <v>392.07000699999998</v>
      </c>
      <c r="C21">
        <v>394.209991</v>
      </c>
      <c r="D21">
        <v>391.20001200000002</v>
      </c>
      <c r="E21">
        <v>394.05999800000001</v>
      </c>
      <c r="F21">
        <v>388.87634300000002</v>
      </c>
      <c r="G21">
        <v>64653600</v>
      </c>
      <c r="H21" s="8">
        <f>(SPY[[#This Row],[Open]]-SPY[[#This Row],[Close]])/SPY[[#This Row],[Open]] * 100</f>
        <v>-0.50756012050675225</v>
      </c>
      <c r="I21">
        <f>IF(SPY[[#This Row],[Volume]] &gt; 71975900+ 1.5 * 42542200, SPY[[#This Row],[Gain]], 0)</f>
        <v>0</v>
      </c>
      <c r="J21" s="8">
        <f>IF(SPY[[#This Row],[Volume]] &lt; 79378480 - 1.5 * 42542200, SPY[[#This Row],[Gain]], 0)</f>
        <v>0</v>
      </c>
    </row>
    <row r="22" spans="1:10" x14ac:dyDescent="0.2">
      <c r="A22" s="1">
        <v>44270</v>
      </c>
      <c r="B22">
        <v>394.32998700000002</v>
      </c>
      <c r="C22">
        <v>396.69000199999999</v>
      </c>
      <c r="D22">
        <v>392.02999899999998</v>
      </c>
      <c r="E22">
        <v>396.41000400000001</v>
      </c>
      <c r="F22">
        <v>391.19543499999997</v>
      </c>
      <c r="G22">
        <v>73427200</v>
      </c>
      <c r="H22" s="8">
        <f>(SPY[[#This Row],[Open]]-SPY[[#This Row],[Close]])/SPY[[#This Row],[Open]] * 100</f>
        <v>-0.52748131478015081</v>
      </c>
      <c r="I22">
        <f>IF(SPY[[#This Row],[Volume]] &gt; 71975900+ 1.5 * 42542200, SPY[[#This Row],[Gain]], 0)</f>
        <v>0</v>
      </c>
      <c r="J22" s="8">
        <f>IF(SPY[[#This Row],[Volume]] &lt; 79378480 - 1.5 * 42542200, SPY[[#This Row],[Gain]], 0)</f>
        <v>0</v>
      </c>
    </row>
    <row r="23" spans="1:10" x14ac:dyDescent="0.2">
      <c r="A23" s="1">
        <v>44271</v>
      </c>
      <c r="B23">
        <v>397.07000699999998</v>
      </c>
      <c r="C23">
        <v>397.82998700000002</v>
      </c>
      <c r="D23">
        <v>395.07998700000002</v>
      </c>
      <c r="E23">
        <v>395.91000400000001</v>
      </c>
      <c r="F23">
        <v>390.70199600000001</v>
      </c>
      <c r="G23">
        <v>73722500</v>
      </c>
      <c r="H23" s="8">
        <f>(SPY[[#This Row],[Open]]-SPY[[#This Row],[Close]])/SPY[[#This Row],[Open]] * 100</f>
        <v>0.29214067533435251</v>
      </c>
      <c r="I23">
        <f>IF(SPY[[#This Row],[Volume]] &gt; 71975900+ 1.5 * 42542200, SPY[[#This Row],[Gain]], 0)</f>
        <v>0</v>
      </c>
      <c r="J23" s="8">
        <f>IF(SPY[[#This Row],[Volume]] &lt; 79378480 - 1.5 * 42542200, SPY[[#This Row],[Gain]], 0)</f>
        <v>0</v>
      </c>
    </row>
    <row r="24" spans="1:10" x14ac:dyDescent="0.2">
      <c r="A24" s="1">
        <v>44272</v>
      </c>
      <c r="B24">
        <v>394.52999899999998</v>
      </c>
      <c r="C24">
        <v>398.11999500000002</v>
      </c>
      <c r="D24">
        <v>393.29998799999998</v>
      </c>
      <c r="E24">
        <v>397.26001000000002</v>
      </c>
      <c r="F24">
        <v>392.03424100000001</v>
      </c>
      <c r="G24">
        <v>97959300</v>
      </c>
      <c r="H24" s="8">
        <f>(SPY[[#This Row],[Open]]-SPY[[#This Row],[Close]])/SPY[[#This Row],[Open]] * 100</f>
        <v>-0.6919653782778753</v>
      </c>
      <c r="I24">
        <f>IF(SPY[[#This Row],[Volume]] &gt; 71975900+ 1.5 * 42542200, SPY[[#This Row],[Gain]], 0)</f>
        <v>0</v>
      </c>
      <c r="J24" s="8">
        <f>IF(SPY[[#This Row],[Volume]] &lt; 79378480 - 1.5 * 42542200, SPY[[#This Row],[Gain]], 0)</f>
        <v>0</v>
      </c>
    </row>
    <row r="25" spans="1:10" x14ac:dyDescent="0.2">
      <c r="A25" s="1">
        <v>44273</v>
      </c>
      <c r="B25">
        <v>394.48001099999999</v>
      </c>
      <c r="C25">
        <v>396.72000100000002</v>
      </c>
      <c r="D25">
        <v>390.75</v>
      </c>
      <c r="E25">
        <v>391.48001099999999</v>
      </c>
      <c r="F25">
        <v>386.33029199999999</v>
      </c>
      <c r="G25">
        <v>115349100</v>
      </c>
      <c r="H25" s="8">
        <f>(SPY[[#This Row],[Open]]-SPY[[#This Row],[Close]])/SPY[[#This Row],[Open]] * 100</f>
        <v>0.76049480742891173</v>
      </c>
      <c r="I25">
        <f>IF(SPY[[#This Row],[Volume]] &gt; 71975900+ 1.5 * 42542200, SPY[[#This Row],[Gain]], 0)</f>
        <v>0</v>
      </c>
      <c r="J25" s="8">
        <f>IF(SPY[[#This Row],[Volume]] &lt; 79378480 - 1.5 * 42542200, SPY[[#This Row],[Gain]], 0)</f>
        <v>0</v>
      </c>
    </row>
    <row r="26" spans="1:10" x14ac:dyDescent="0.2">
      <c r="A26" s="1">
        <v>44274</v>
      </c>
      <c r="B26">
        <v>389.88000499999998</v>
      </c>
      <c r="C26">
        <v>391.57000699999998</v>
      </c>
      <c r="D26">
        <v>387.14999399999999</v>
      </c>
      <c r="E26">
        <v>389.48001099999999</v>
      </c>
      <c r="F26">
        <v>385.61547899999999</v>
      </c>
      <c r="G26">
        <v>113624500</v>
      </c>
      <c r="H26" s="8">
        <f>(SPY[[#This Row],[Open]]-SPY[[#This Row],[Close]])/SPY[[#This Row],[Open]] * 100</f>
        <v>0.10259413021193339</v>
      </c>
      <c r="I26">
        <f>IF(SPY[[#This Row],[Volume]] &gt; 71975900+ 1.5 * 42542200, SPY[[#This Row],[Gain]], 0)</f>
        <v>0</v>
      </c>
      <c r="J26" s="8">
        <f>IF(SPY[[#This Row],[Volume]] &lt; 79378480 - 1.5 * 42542200, SPY[[#This Row],[Gain]], 0)</f>
        <v>0</v>
      </c>
    </row>
    <row r="27" spans="1:10" x14ac:dyDescent="0.2">
      <c r="A27" s="1">
        <v>44277</v>
      </c>
      <c r="B27">
        <v>390.02999899999998</v>
      </c>
      <c r="C27">
        <v>394.07000699999998</v>
      </c>
      <c r="D27">
        <v>389.97000100000002</v>
      </c>
      <c r="E27">
        <v>392.58999599999999</v>
      </c>
      <c r="F27">
        <v>388.69457999999997</v>
      </c>
      <c r="G27">
        <v>73778600</v>
      </c>
      <c r="H27" s="8">
        <f>(SPY[[#This Row],[Open]]-SPY[[#This Row],[Close]])/SPY[[#This Row],[Open]] * 100</f>
        <v>-0.65635899970863776</v>
      </c>
      <c r="I27">
        <f>IF(SPY[[#This Row],[Volume]] &gt; 71975900+ 1.5 * 42542200, SPY[[#This Row],[Gain]], 0)</f>
        <v>0</v>
      </c>
      <c r="J27" s="8">
        <f>IF(SPY[[#This Row],[Volume]] &lt; 79378480 - 1.5 * 42542200, SPY[[#This Row],[Gain]], 0)</f>
        <v>0</v>
      </c>
    </row>
    <row r="28" spans="1:10" x14ac:dyDescent="0.2">
      <c r="A28" s="1">
        <v>44278</v>
      </c>
      <c r="B28">
        <v>391.91000400000001</v>
      </c>
      <c r="C28">
        <v>393.459991</v>
      </c>
      <c r="D28">
        <v>388.66000400000001</v>
      </c>
      <c r="E28">
        <v>389.5</v>
      </c>
      <c r="F28">
        <v>385.63525399999997</v>
      </c>
      <c r="G28">
        <v>90686600</v>
      </c>
      <c r="H28" s="8">
        <f>(SPY[[#This Row],[Open]]-SPY[[#This Row],[Close]])/SPY[[#This Row],[Open]] * 100</f>
        <v>0.61493811727245795</v>
      </c>
      <c r="I28">
        <f>IF(SPY[[#This Row],[Volume]] &gt; 71975900+ 1.5 * 42542200, SPY[[#This Row],[Gain]], 0)</f>
        <v>0</v>
      </c>
      <c r="J28" s="8">
        <f>IF(SPY[[#This Row],[Volume]] &lt; 79378480 - 1.5 * 42542200, SPY[[#This Row],[Gain]], 0)</f>
        <v>0</v>
      </c>
    </row>
    <row r="29" spans="1:10" x14ac:dyDescent="0.2">
      <c r="A29" s="1">
        <v>44279</v>
      </c>
      <c r="B29">
        <v>391</v>
      </c>
      <c r="C29">
        <v>392.75</v>
      </c>
      <c r="D29">
        <v>387.47000100000002</v>
      </c>
      <c r="E29">
        <v>387.51998900000001</v>
      </c>
      <c r="F29">
        <v>383.67489599999999</v>
      </c>
      <c r="G29">
        <v>97588600</v>
      </c>
      <c r="H29" s="8">
        <f>(SPY[[#This Row],[Open]]-SPY[[#This Row],[Close]])/SPY[[#This Row],[Open]] * 100</f>
        <v>0.89002838874680057</v>
      </c>
      <c r="I29">
        <f>IF(SPY[[#This Row],[Volume]] &gt; 71975900+ 1.5 * 42542200, SPY[[#This Row],[Gain]], 0)</f>
        <v>0</v>
      </c>
      <c r="J29" s="8">
        <f>IF(SPY[[#This Row],[Volume]] &lt; 79378480 - 1.5 * 42542200, SPY[[#This Row],[Gain]], 0)</f>
        <v>0</v>
      </c>
    </row>
    <row r="30" spans="1:10" x14ac:dyDescent="0.2">
      <c r="A30" s="1">
        <v>44280</v>
      </c>
      <c r="B30">
        <v>385.98001099999999</v>
      </c>
      <c r="C30">
        <v>390.54998799999998</v>
      </c>
      <c r="D30">
        <v>383.89999399999999</v>
      </c>
      <c r="E30">
        <v>389.70001200000002</v>
      </c>
      <c r="F30">
        <v>385.833282</v>
      </c>
      <c r="G30">
        <v>116128600</v>
      </c>
      <c r="H30" s="8">
        <f>(SPY[[#This Row],[Open]]-SPY[[#This Row],[Close]])/SPY[[#This Row],[Open]] * 100</f>
        <v>-0.96378073837611899</v>
      </c>
      <c r="I30">
        <f>IF(SPY[[#This Row],[Volume]] &gt; 71975900+ 1.5 * 42542200, SPY[[#This Row],[Gain]], 0)</f>
        <v>0</v>
      </c>
      <c r="J30" s="8">
        <f>IF(SPY[[#This Row],[Volume]] &lt; 79378480 - 1.5 * 42542200, SPY[[#This Row],[Gain]], 0)</f>
        <v>0</v>
      </c>
    </row>
    <row r="31" spans="1:10" x14ac:dyDescent="0.2">
      <c r="A31" s="1">
        <v>44281</v>
      </c>
      <c r="B31">
        <v>390.92999300000002</v>
      </c>
      <c r="C31">
        <v>396.41000400000001</v>
      </c>
      <c r="D31">
        <v>390.290009</v>
      </c>
      <c r="E31">
        <v>395.98001099999999</v>
      </c>
      <c r="F31">
        <v>392.05096400000002</v>
      </c>
      <c r="G31">
        <v>114409100</v>
      </c>
      <c r="H31" s="8">
        <f>(SPY[[#This Row],[Open]]-SPY[[#This Row],[Close]])/SPY[[#This Row],[Open]] * 100</f>
        <v>-1.2917959968346471</v>
      </c>
      <c r="I31">
        <f>IF(SPY[[#This Row],[Volume]] &gt; 71975900+ 1.5 * 42542200, SPY[[#This Row],[Gain]], 0)</f>
        <v>0</v>
      </c>
      <c r="J31" s="8">
        <f>IF(SPY[[#This Row],[Volume]] &lt; 79378480 - 1.5 * 42542200, SPY[[#This Row],[Gain]], 0)</f>
        <v>0</v>
      </c>
    </row>
    <row r="32" spans="1:10" x14ac:dyDescent="0.2">
      <c r="A32" s="1">
        <v>44284</v>
      </c>
      <c r="B32">
        <v>394.39999399999999</v>
      </c>
      <c r="C32">
        <v>396.75</v>
      </c>
      <c r="D32">
        <v>392.80999800000001</v>
      </c>
      <c r="E32">
        <v>395.77999899999998</v>
      </c>
      <c r="F32">
        <v>391.85296599999998</v>
      </c>
      <c r="G32">
        <v>108107600</v>
      </c>
      <c r="H32" s="8">
        <f>(SPY[[#This Row],[Open]]-SPY[[#This Row],[Close]])/SPY[[#This Row],[Open]] * 100</f>
        <v>-0.34989985319319827</v>
      </c>
      <c r="I32">
        <f>IF(SPY[[#This Row],[Volume]] &gt; 71975900+ 1.5 * 42542200, SPY[[#This Row],[Gain]], 0)</f>
        <v>0</v>
      </c>
      <c r="J32" s="8">
        <f>IF(SPY[[#This Row],[Volume]] &lt; 79378480 - 1.5 * 42542200, SPY[[#This Row],[Gain]], 0)</f>
        <v>0</v>
      </c>
    </row>
    <row r="33" spans="1:10" x14ac:dyDescent="0.2">
      <c r="A33" s="1">
        <v>44285</v>
      </c>
      <c r="B33">
        <v>394.42001299999998</v>
      </c>
      <c r="C33">
        <v>395.45001200000002</v>
      </c>
      <c r="D33">
        <v>393.01998900000001</v>
      </c>
      <c r="E33">
        <v>394.73001099999999</v>
      </c>
      <c r="F33">
        <v>390.813354</v>
      </c>
      <c r="G33">
        <v>76262200</v>
      </c>
      <c r="H33" s="8">
        <f>(SPY[[#This Row],[Open]]-SPY[[#This Row],[Close]])/SPY[[#This Row],[Open]] * 100</f>
        <v>-7.8595910395654126E-2</v>
      </c>
      <c r="I33">
        <f>IF(SPY[[#This Row],[Volume]] &gt; 71975900+ 1.5 * 42542200, SPY[[#This Row],[Gain]], 0)</f>
        <v>0</v>
      </c>
      <c r="J33" s="8">
        <f>IF(SPY[[#This Row],[Volume]] &lt; 79378480 - 1.5 * 42542200, SPY[[#This Row],[Gain]], 0)</f>
        <v>0</v>
      </c>
    </row>
    <row r="34" spans="1:10" x14ac:dyDescent="0.2">
      <c r="A34" s="1">
        <v>44286</v>
      </c>
      <c r="B34">
        <v>395.33999599999999</v>
      </c>
      <c r="C34">
        <v>398</v>
      </c>
      <c r="D34">
        <v>395.30999800000001</v>
      </c>
      <c r="E34">
        <v>396.32998700000002</v>
      </c>
      <c r="F34">
        <v>392.397491</v>
      </c>
      <c r="G34">
        <v>112734200</v>
      </c>
      <c r="H34" s="8">
        <f>(SPY[[#This Row],[Open]]-SPY[[#This Row],[Close]])/SPY[[#This Row],[Open]] * 100</f>
        <v>-0.25041508828265174</v>
      </c>
      <c r="I34">
        <f>IF(SPY[[#This Row],[Volume]] &gt; 71975900+ 1.5 * 42542200, SPY[[#This Row],[Gain]], 0)</f>
        <v>0</v>
      </c>
      <c r="J34" s="8">
        <f>IF(SPY[[#This Row],[Volume]] &lt; 79378480 - 1.5 * 42542200, SPY[[#This Row],[Gain]], 0)</f>
        <v>0</v>
      </c>
    </row>
    <row r="35" spans="1:10" x14ac:dyDescent="0.2">
      <c r="A35" s="1">
        <v>44287</v>
      </c>
      <c r="B35">
        <v>398.39999399999999</v>
      </c>
      <c r="C35">
        <v>400.67001299999998</v>
      </c>
      <c r="D35">
        <v>398.17999300000002</v>
      </c>
      <c r="E35">
        <v>400.60998499999999</v>
      </c>
      <c r="F35">
        <v>396.63501000000002</v>
      </c>
      <c r="G35">
        <v>99682900</v>
      </c>
      <c r="H35" s="8">
        <f>(SPY[[#This Row],[Open]]-SPY[[#This Row],[Close]])/SPY[[#This Row],[Open]] * 100</f>
        <v>-0.55471662482003004</v>
      </c>
      <c r="I35">
        <f>IF(SPY[[#This Row],[Volume]] &gt; 71975900+ 1.5 * 42542200, SPY[[#This Row],[Gain]], 0)</f>
        <v>0</v>
      </c>
      <c r="J35" s="8">
        <f>IF(SPY[[#This Row],[Volume]] &lt; 79378480 - 1.5 * 42542200, SPY[[#This Row],[Gain]], 0)</f>
        <v>0</v>
      </c>
    </row>
    <row r="36" spans="1:10" x14ac:dyDescent="0.2">
      <c r="A36" s="1">
        <v>44291</v>
      </c>
      <c r="B36">
        <v>403.459991</v>
      </c>
      <c r="C36">
        <v>406.94000199999999</v>
      </c>
      <c r="D36">
        <v>403.38000499999998</v>
      </c>
      <c r="E36">
        <v>406.35998499999999</v>
      </c>
      <c r="F36">
        <v>402.32794200000001</v>
      </c>
      <c r="G36">
        <v>91684800</v>
      </c>
      <c r="H36" s="8">
        <f>(SPY[[#This Row],[Open]]-SPY[[#This Row],[Close]])/SPY[[#This Row],[Open]] * 100</f>
        <v>-0.71878106000354136</v>
      </c>
      <c r="I36">
        <f>IF(SPY[[#This Row],[Volume]] &gt; 71975900+ 1.5 * 42542200, SPY[[#This Row],[Gain]], 0)</f>
        <v>0</v>
      </c>
      <c r="J36" s="8">
        <f>IF(SPY[[#This Row],[Volume]] &lt; 79378480 - 1.5 * 42542200, SPY[[#This Row],[Gain]], 0)</f>
        <v>0</v>
      </c>
    </row>
    <row r="37" spans="1:10" x14ac:dyDescent="0.2">
      <c r="A37" s="1">
        <v>44292</v>
      </c>
      <c r="B37">
        <v>405.76001000000002</v>
      </c>
      <c r="C37">
        <v>407.23998999999998</v>
      </c>
      <c r="D37">
        <v>405.39999399999999</v>
      </c>
      <c r="E37">
        <v>406.11999500000002</v>
      </c>
      <c r="F37">
        <v>402.09036300000002</v>
      </c>
      <c r="G37">
        <v>62021000</v>
      </c>
      <c r="H37" s="8">
        <f>(SPY[[#This Row],[Open]]-SPY[[#This Row],[Close]])/SPY[[#This Row],[Open]] * 100</f>
        <v>-8.8718698523295739E-2</v>
      </c>
      <c r="I37">
        <f>IF(SPY[[#This Row],[Volume]] &gt; 71975900+ 1.5 * 42542200, SPY[[#This Row],[Gain]], 0)</f>
        <v>0</v>
      </c>
      <c r="J37" s="8">
        <f>IF(SPY[[#This Row],[Volume]] &lt; 79378480 - 1.5 * 42542200, SPY[[#This Row],[Gain]], 0)</f>
        <v>0</v>
      </c>
    </row>
    <row r="38" spans="1:10" x14ac:dyDescent="0.2">
      <c r="A38" s="1">
        <v>44293</v>
      </c>
      <c r="B38">
        <v>405.94000199999999</v>
      </c>
      <c r="C38">
        <v>406.959991</v>
      </c>
      <c r="D38">
        <v>405.45001200000002</v>
      </c>
      <c r="E38">
        <v>406.58999599999999</v>
      </c>
      <c r="F38">
        <v>402.55566399999998</v>
      </c>
      <c r="G38">
        <v>55836300</v>
      </c>
      <c r="H38" s="8">
        <f>(SPY[[#This Row],[Open]]-SPY[[#This Row],[Close]])/SPY[[#This Row],[Open]] * 100</f>
        <v>-0.16012070670482786</v>
      </c>
      <c r="I38">
        <f>IF(SPY[[#This Row],[Volume]] &gt; 71975900+ 1.5 * 42542200, SPY[[#This Row],[Gain]], 0)</f>
        <v>0</v>
      </c>
      <c r="J38" s="8">
        <f>IF(SPY[[#This Row],[Volume]] &lt; 79378480 - 1.5 * 42542200, SPY[[#This Row],[Gain]], 0)</f>
        <v>0</v>
      </c>
    </row>
    <row r="39" spans="1:10" x14ac:dyDescent="0.2">
      <c r="A39" s="1">
        <v>44294</v>
      </c>
      <c r="B39">
        <v>407.92999300000002</v>
      </c>
      <c r="C39">
        <v>408.57998700000002</v>
      </c>
      <c r="D39">
        <v>406.92999300000002</v>
      </c>
      <c r="E39">
        <v>408.51998900000001</v>
      </c>
      <c r="F39">
        <v>404.466522</v>
      </c>
      <c r="G39">
        <v>57863100</v>
      </c>
      <c r="H39" s="8">
        <f>(SPY[[#This Row],[Open]]-SPY[[#This Row],[Close]])/SPY[[#This Row],[Open]] * 100</f>
        <v>-0.14463167948525546</v>
      </c>
      <c r="I39">
        <f>IF(SPY[[#This Row],[Volume]] &gt; 71975900+ 1.5 * 42542200, SPY[[#This Row],[Gain]], 0)</f>
        <v>0</v>
      </c>
      <c r="J39" s="8">
        <f>IF(SPY[[#This Row],[Volume]] &lt; 79378480 - 1.5 * 42542200, SPY[[#This Row],[Gain]], 0)</f>
        <v>0</v>
      </c>
    </row>
    <row r="40" spans="1:10" x14ac:dyDescent="0.2">
      <c r="A40" s="1">
        <v>44295</v>
      </c>
      <c r="B40">
        <v>408.39001500000001</v>
      </c>
      <c r="C40">
        <v>411.67001299999998</v>
      </c>
      <c r="D40">
        <v>408.26001000000002</v>
      </c>
      <c r="E40">
        <v>411.48998999999998</v>
      </c>
      <c r="F40">
        <v>407.40707400000002</v>
      </c>
      <c r="G40">
        <v>61104600</v>
      </c>
      <c r="H40" s="8">
        <f>(SPY[[#This Row],[Open]]-SPY[[#This Row],[Close]])/SPY[[#This Row],[Open]] * 100</f>
        <v>-0.75907218250670794</v>
      </c>
      <c r="I40">
        <f>IF(SPY[[#This Row],[Volume]] &gt; 71975900+ 1.5 * 42542200, SPY[[#This Row],[Gain]], 0)</f>
        <v>0</v>
      </c>
      <c r="J40" s="8">
        <f>IF(SPY[[#This Row],[Volume]] &lt; 79378480 - 1.5 * 42542200, SPY[[#This Row],[Gain]], 0)</f>
        <v>0</v>
      </c>
    </row>
    <row r="41" spans="1:10" x14ac:dyDescent="0.2">
      <c r="A41" s="1">
        <v>44298</v>
      </c>
      <c r="B41">
        <v>410.85000600000001</v>
      </c>
      <c r="C41">
        <v>411.92999300000002</v>
      </c>
      <c r="D41">
        <v>410.20001200000002</v>
      </c>
      <c r="E41">
        <v>411.64001500000001</v>
      </c>
      <c r="F41">
        <v>407.55557299999998</v>
      </c>
      <c r="G41">
        <v>56704900</v>
      </c>
      <c r="H41" s="8">
        <f>(SPY[[#This Row],[Open]]-SPY[[#This Row],[Close]])/SPY[[#This Row],[Open]] * 100</f>
        <v>-0.19228647644220742</v>
      </c>
      <c r="I41">
        <f>IF(SPY[[#This Row],[Volume]] &gt; 71975900+ 1.5 * 42542200, SPY[[#This Row],[Gain]], 0)</f>
        <v>0</v>
      </c>
      <c r="J41" s="8">
        <f>IF(SPY[[#This Row],[Volume]] &lt; 79378480 - 1.5 * 42542200, SPY[[#This Row],[Gain]], 0)</f>
        <v>0</v>
      </c>
    </row>
    <row r="42" spans="1:10" x14ac:dyDescent="0.2">
      <c r="A42" s="1">
        <v>44299</v>
      </c>
      <c r="B42">
        <v>411.52999899999998</v>
      </c>
      <c r="C42">
        <v>413.52999899999998</v>
      </c>
      <c r="D42">
        <v>411.11999500000002</v>
      </c>
      <c r="E42">
        <v>412.85998499999999</v>
      </c>
      <c r="F42">
        <v>408.76342799999998</v>
      </c>
      <c r="G42">
        <v>56551000</v>
      </c>
      <c r="H42" s="8">
        <f>(SPY[[#This Row],[Open]]-SPY[[#This Row],[Close]])/SPY[[#This Row],[Open]] * 100</f>
        <v>-0.32318081384876624</v>
      </c>
      <c r="I42">
        <f>IF(SPY[[#This Row],[Volume]] &gt; 71975900+ 1.5 * 42542200, SPY[[#This Row],[Gain]], 0)</f>
        <v>0</v>
      </c>
      <c r="J42" s="8">
        <f>IF(SPY[[#This Row],[Volume]] &lt; 79378480 - 1.5 * 42542200, SPY[[#This Row],[Gain]], 0)</f>
        <v>0</v>
      </c>
    </row>
    <row r="43" spans="1:10" x14ac:dyDescent="0.2">
      <c r="A43" s="1">
        <v>44300</v>
      </c>
      <c r="B43">
        <v>412.82998700000002</v>
      </c>
      <c r="C43">
        <v>413.959991</v>
      </c>
      <c r="D43">
        <v>410.86999500000002</v>
      </c>
      <c r="E43">
        <v>411.45001200000002</v>
      </c>
      <c r="F43">
        <v>407.36749300000002</v>
      </c>
      <c r="G43">
        <v>61659900</v>
      </c>
      <c r="H43" s="8">
        <f>(SPY[[#This Row],[Open]]-SPY[[#This Row],[Close]])/SPY[[#This Row],[Open]] * 100</f>
        <v>0.33427198688451903</v>
      </c>
      <c r="I43">
        <f>IF(SPY[[#This Row],[Volume]] &gt; 71975900+ 1.5 * 42542200, SPY[[#This Row],[Gain]], 0)</f>
        <v>0</v>
      </c>
      <c r="J43" s="8">
        <f>IF(SPY[[#This Row],[Volume]] &lt; 79378480 - 1.5 * 42542200, SPY[[#This Row],[Gain]], 0)</f>
        <v>0</v>
      </c>
    </row>
    <row r="44" spans="1:10" x14ac:dyDescent="0.2">
      <c r="A44" s="1">
        <v>44301</v>
      </c>
      <c r="B44">
        <v>413.73998999999998</v>
      </c>
      <c r="C44">
        <v>416.16000400000001</v>
      </c>
      <c r="D44">
        <v>413.69000199999999</v>
      </c>
      <c r="E44">
        <v>415.86999500000002</v>
      </c>
      <c r="F44">
        <v>411.74359099999998</v>
      </c>
      <c r="G44">
        <v>60229800</v>
      </c>
      <c r="H44" s="8">
        <f>(SPY[[#This Row],[Open]]-SPY[[#This Row],[Close]])/SPY[[#This Row],[Open]] * 100</f>
        <v>-0.51481728899351498</v>
      </c>
      <c r="I44">
        <f>IF(SPY[[#This Row],[Volume]] &gt; 71975900+ 1.5 * 42542200, SPY[[#This Row],[Gain]], 0)</f>
        <v>0</v>
      </c>
      <c r="J44" s="8">
        <f>IF(SPY[[#This Row],[Volume]] &lt; 79378480 - 1.5 * 42542200, SPY[[#This Row],[Gain]], 0)</f>
        <v>0</v>
      </c>
    </row>
    <row r="45" spans="1:10" x14ac:dyDescent="0.2">
      <c r="A45" s="1">
        <v>44302</v>
      </c>
      <c r="B45">
        <v>417.25</v>
      </c>
      <c r="C45">
        <v>417.91000400000001</v>
      </c>
      <c r="D45">
        <v>415.73001099999999</v>
      </c>
      <c r="E45">
        <v>417.26001000000002</v>
      </c>
      <c r="F45">
        <v>413.119843</v>
      </c>
      <c r="G45">
        <v>82037300</v>
      </c>
      <c r="H45" s="8">
        <f>(SPY[[#This Row],[Open]]-SPY[[#This Row],[Close]])/SPY[[#This Row],[Open]] * 100</f>
        <v>-2.3990413421264233E-3</v>
      </c>
      <c r="I45">
        <f>IF(SPY[[#This Row],[Volume]] &gt; 71975900+ 1.5 * 42542200, SPY[[#This Row],[Gain]], 0)</f>
        <v>0</v>
      </c>
      <c r="J45" s="8">
        <f>IF(SPY[[#This Row],[Volume]] &lt; 79378480 - 1.5 * 42542200, SPY[[#This Row],[Gain]], 0)</f>
        <v>0</v>
      </c>
    </row>
    <row r="46" spans="1:10" x14ac:dyDescent="0.2">
      <c r="A46" s="1">
        <v>44305</v>
      </c>
      <c r="B46">
        <v>416.26001000000002</v>
      </c>
      <c r="C46">
        <v>416.73998999999998</v>
      </c>
      <c r="D46">
        <v>413.790009</v>
      </c>
      <c r="E46">
        <v>415.209991</v>
      </c>
      <c r="F46">
        <v>411.090149</v>
      </c>
      <c r="G46">
        <v>78498500</v>
      </c>
      <c r="H46" s="8">
        <f>(SPY[[#This Row],[Open]]-SPY[[#This Row],[Close]])/SPY[[#This Row],[Open]] * 100</f>
        <v>0.25225075067864922</v>
      </c>
      <c r="I46">
        <f>IF(SPY[[#This Row],[Volume]] &gt; 71975900+ 1.5 * 42542200, SPY[[#This Row],[Gain]], 0)</f>
        <v>0</v>
      </c>
      <c r="J46" s="8">
        <f>IF(SPY[[#This Row],[Volume]] &lt; 79378480 - 1.5 * 42542200, SPY[[#This Row],[Gain]], 0)</f>
        <v>0</v>
      </c>
    </row>
    <row r="47" spans="1:10" x14ac:dyDescent="0.2">
      <c r="A47" s="1">
        <v>44306</v>
      </c>
      <c r="B47">
        <v>413.91000400000001</v>
      </c>
      <c r="C47">
        <v>415.08999599999999</v>
      </c>
      <c r="D47">
        <v>410.58999599999999</v>
      </c>
      <c r="E47">
        <v>412.17001299999998</v>
      </c>
      <c r="F47">
        <v>408.08032200000002</v>
      </c>
      <c r="G47">
        <v>81851800</v>
      </c>
      <c r="H47" s="8">
        <f>(SPY[[#This Row],[Open]]-SPY[[#This Row],[Close]])/SPY[[#This Row],[Open]] * 100</f>
        <v>0.42037906385080553</v>
      </c>
      <c r="I47">
        <f>IF(SPY[[#This Row],[Volume]] &gt; 71975900+ 1.5 * 42542200, SPY[[#This Row],[Gain]], 0)</f>
        <v>0</v>
      </c>
      <c r="J47" s="8">
        <f>IF(SPY[[#This Row],[Volume]] &lt; 79378480 - 1.5 * 42542200, SPY[[#This Row],[Gain]], 0)</f>
        <v>0</v>
      </c>
    </row>
    <row r="48" spans="1:10" x14ac:dyDescent="0.2">
      <c r="A48" s="1">
        <v>44307</v>
      </c>
      <c r="B48">
        <v>411.51001000000002</v>
      </c>
      <c r="C48">
        <v>416.290009</v>
      </c>
      <c r="D48">
        <v>411.35998499999999</v>
      </c>
      <c r="E48">
        <v>416.07000699999998</v>
      </c>
      <c r="F48">
        <v>411.94162</v>
      </c>
      <c r="G48">
        <v>66793000</v>
      </c>
      <c r="H48" s="8">
        <f>(SPY[[#This Row],[Open]]-SPY[[#This Row],[Close]])/SPY[[#This Row],[Open]] * 100</f>
        <v>-1.108113263150015</v>
      </c>
      <c r="I48">
        <f>IF(SPY[[#This Row],[Volume]] &gt; 71975900+ 1.5 * 42542200, SPY[[#This Row],[Gain]], 0)</f>
        <v>0</v>
      </c>
      <c r="J48" s="8">
        <f>IF(SPY[[#This Row],[Volume]] &lt; 79378480 - 1.5 * 42542200, SPY[[#This Row],[Gain]], 0)</f>
        <v>0</v>
      </c>
    </row>
    <row r="49" spans="1:10" x14ac:dyDescent="0.2">
      <c r="A49" s="1">
        <v>44308</v>
      </c>
      <c r="B49">
        <v>415.89001500000001</v>
      </c>
      <c r="C49">
        <v>416.77999899999998</v>
      </c>
      <c r="D49">
        <v>411.13000499999998</v>
      </c>
      <c r="E49">
        <v>412.26998900000001</v>
      </c>
      <c r="F49">
        <v>408.17932100000002</v>
      </c>
      <c r="G49">
        <v>97582800</v>
      </c>
      <c r="H49" s="8">
        <f>(SPY[[#This Row],[Open]]-SPY[[#This Row],[Close]])/SPY[[#This Row],[Open]] * 100</f>
        <v>0.87042868773851079</v>
      </c>
      <c r="I49">
        <f>IF(SPY[[#This Row],[Volume]] &gt; 71975900+ 1.5 * 42542200, SPY[[#This Row],[Gain]], 0)</f>
        <v>0</v>
      </c>
      <c r="J49" s="8">
        <f>IF(SPY[[#This Row],[Volume]] &lt; 79378480 - 1.5 * 42542200, SPY[[#This Row],[Gain]], 0)</f>
        <v>0</v>
      </c>
    </row>
    <row r="50" spans="1:10" x14ac:dyDescent="0.2">
      <c r="A50" s="1">
        <v>44309</v>
      </c>
      <c r="B50">
        <v>412.86999500000002</v>
      </c>
      <c r="C50">
        <v>418.25</v>
      </c>
      <c r="D50">
        <v>412.790009</v>
      </c>
      <c r="E50">
        <v>416.73998999999998</v>
      </c>
      <c r="F50">
        <v>412.60494999999997</v>
      </c>
      <c r="G50">
        <v>73209200</v>
      </c>
      <c r="H50" s="8">
        <f>(SPY[[#This Row],[Open]]-SPY[[#This Row],[Close]])/SPY[[#This Row],[Open]] * 100</f>
        <v>-0.93733985197930403</v>
      </c>
      <c r="I50">
        <f>IF(SPY[[#This Row],[Volume]] &gt; 71975900+ 1.5 * 42542200, SPY[[#This Row],[Gain]], 0)</f>
        <v>0</v>
      </c>
      <c r="J50" s="8">
        <f>IF(SPY[[#This Row],[Volume]] &lt; 79378480 - 1.5 * 42542200, SPY[[#This Row],[Gain]], 0)</f>
        <v>0</v>
      </c>
    </row>
    <row r="51" spans="1:10" x14ac:dyDescent="0.2">
      <c r="A51" s="1">
        <v>44312</v>
      </c>
      <c r="B51">
        <v>417.44000199999999</v>
      </c>
      <c r="C51">
        <v>418.22000100000002</v>
      </c>
      <c r="D51">
        <v>416.80999800000001</v>
      </c>
      <c r="E51">
        <v>417.60998499999999</v>
      </c>
      <c r="F51">
        <v>413.46630900000002</v>
      </c>
      <c r="G51">
        <v>52182400</v>
      </c>
      <c r="H51" s="8">
        <f>(SPY[[#This Row],[Open]]-SPY[[#This Row],[Close]])/SPY[[#This Row],[Open]] * 100</f>
        <v>-4.0720342848216538E-2</v>
      </c>
      <c r="I51">
        <f>IF(SPY[[#This Row],[Volume]] &gt; 71975900+ 1.5 * 42542200, SPY[[#This Row],[Gain]], 0)</f>
        <v>0</v>
      </c>
      <c r="J51" s="8">
        <f>IF(SPY[[#This Row],[Volume]] &lt; 79378480 - 1.5 * 42542200, SPY[[#This Row],[Gain]], 0)</f>
        <v>0</v>
      </c>
    </row>
    <row r="52" spans="1:10" x14ac:dyDescent="0.2">
      <c r="A52" s="1">
        <v>44313</v>
      </c>
      <c r="B52">
        <v>417.92999300000002</v>
      </c>
      <c r="C52">
        <v>418.14001500000001</v>
      </c>
      <c r="D52">
        <v>416.29998799999998</v>
      </c>
      <c r="E52">
        <v>417.51998900000001</v>
      </c>
      <c r="F52">
        <v>413.377228</v>
      </c>
      <c r="G52">
        <v>51303100</v>
      </c>
      <c r="H52" s="8">
        <f>(SPY[[#This Row],[Open]]-SPY[[#This Row],[Close]])/SPY[[#This Row],[Open]] * 100</f>
        <v>9.8103511800363863E-2</v>
      </c>
      <c r="I52">
        <f>IF(SPY[[#This Row],[Volume]] &gt; 71975900+ 1.5 * 42542200, SPY[[#This Row],[Gain]], 0)</f>
        <v>0</v>
      </c>
      <c r="J52" s="8">
        <f>IF(SPY[[#This Row],[Volume]] &lt; 79378480 - 1.5 * 42542200, SPY[[#This Row],[Gain]], 0)</f>
        <v>0</v>
      </c>
    </row>
    <row r="53" spans="1:10" x14ac:dyDescent="0.2">
      <c r="A53" s="1">
        <v>44314</v>
      </c>
      <c r="B53">
        <v>417.80999800000001</v>
      </c>
      <c r="C53">
        <v>419.01001000000002</v>
      </c>
      <c r="D53">
        <v>416.89999399999999</v>
      </c>
      <c r="E53">
        <v>417.39999399999999</v>
      </c>
      <c r="F53">
        <v>413.25842299999999</v>
      </c>
      <c r="G53">
        <v>51238900</v>
      </c>
      <c r="H53" s="8">
        <f>(SPY[[#This Row],[Open]]-SPY[[#This Row],[Close]])/SPY[[#This Row],[Open]] * 100</f>
        <v>9.8131687121574065E-2</v>
      </c>
      <c r="I53">
        <f>IF(SPY[[#This Row],[Volume]] &gt; 71975900+ 1.5 * 42542200, SPY[[#This Row],[Gain]], 0)</f>
        <v>0</v>
      </c>
      <c r="J53" s="8">
        <f>IF(SPY[[#This Row],[Volume]] &lt; 79378480 - 1.5 * 42542200, SPY[[#This Row],[Gain]], 0)</f>
        <v>0</v>
      </c>
    </row>
    <row r="54" spans="1:10" x14ac:dyDescent="0.2">
      <c r="A54" s="1">
        <v>44315</v>
      </c>
      <c r="B54">
        <v>420.32000699999998</v>
      </c>
      <c r="C54">
        <v>420.72000100000002</v>
      </c>
      <c r="D54">
        <v>416.44000199999999</v>
      </c>
      <c r="E54">
        <v>420.05999800000001</v>
      </c>
      <c r="F54">
        <v>415.89202899999998</v>
      </c>
      <c r="G54">
        <v>78544300</v>
      </c>
      <c r="H54" s="8">
        <f>(SPY[[#This Row],[Open]]-SPY[[#This Row],[Close]])/SPY[[#This Row],[Open]] * 100</f>
        <v>6.1859772475681418E-2</v>
      </c>
      <c r="I54">
        <f>IF(SPY[[#This Row],[Volume]] &gt; 71975900+ 1.5 * 42542200, SPY[[#This Row],[Gain]], 0)</f>
        <v>0</v>
      </c>
      <c r="J54" s="8">
        <f>IF(SPY[[#This Row],[Volume]] &lt; 79378480 - 1.5 * 42542200, SPY[[#This Row],[Gain]], 0)</f>
        <v>0</v>
      </c>
    </row>
    <row r="55" spans="1:10" x14ac:dyDescent="0.2">
      <c r="A55" s="1">
        <v>44316</v>
      </c>
      <c r="B55">
        <v>417.63000499999998</v>
      </c>
      <c r="C55">
        <v>418.540009</v>
      </c>
      <c r="D55">
        <v>416.33999599999999</v>
      </c>
      <c r="E55">
        <v>417.29998799999998</v>
      </c>
      <c r="F55">
        <v>413.15939300000002</v>
      </c>
      <c r="G55">
        <v>85527000</v>
      </c>
      <c r="H55" s="8">
        <f>(SPY[[#This Row],[Open]]-SPY[[#This Row],[Close]])/SPY[[#This Row],[Open]] * 100</f>
        <v>7.9021381617443417E-2</v>
      </c>
      <c r="I55">
        <f>IF(SPY[[#This Row],[Volume]] &gt; 71975900+ 1.5 * 42542200, SPY[[#This Row],[Gain]], 0)</f>
        <v>0</v>
      </c>
      <c r="J55" s="8">
        <f>IF(SPY[[#This Row],[Volume]] &lt; 79378480 - 1.5 * 42542200, SPY[[#This Row],[Gain]], 0)</f>
        <v>0</v>
      </c>
    </row>
    <row r="56" spans="1:10" x14ac:dyDescent="0.2">
      <c r="A56" s="1">
        <v>44319</v>
      </c>
      <c r="B56">
        <v>419.42999300000002</v>
      </c>
      <c r="C56">
        <v>419.83999599999999</v>
      </c>
      <c r="D56">
        <v>417.67001299999998</v>
      </c>
      <c r="E56">
        <v>418.20001200000002</v>
      </c>
      <c r="F56">
        <v>414.05050699999998</v>
      </c>
      <c r="G56">
        <v>68128300</v>
      </c>
      <c r="H56" s="8">
        <f>(SPY[[#This Row],[Open]]-SPY[[#This Row],[Close]])/SPY[[#This Row],[Open]] * 100</f>
        <v>0.29325060690164073</v>
      </c>
      <c r="I56">
        <f>IF(SPY[[#This Row],[Volume]] &gt; 71975900+ 1.5 * 42542200, SPY[[#This Row],[Gain]], 0)</f>
        <v>0</v>
      </c>
      <c r="J56" s="8">
        <f>IF(SPY[[#This Row],[Volume]] &lt; 79378480 - 1.5 * 42542200, SPY[[#This Row],[Gain]], 0)</f>
        <v>0</v>
      </c>
    </row>
    <row r="57" spans="1:10" x14ac:dyDescent="0.2">
      <c r="A57" s="1">
        <v>44320</v>
      </c>
      <c r="B57">
        <v>416.07000699999998</v>
      </c>
      <c r="C57">
        <v>416.60000600000001</v>
      </c>
      <c r="D57">
        <v>411.67001299999998</v>
      </c>
      <c r="E57">
        <v>415.61999500000002</v>
      </c>
      <c r="F57">
        <v>411.49606299999999</v>
      </c>
      <c r="G57">
        <v>101591200</v>
      </c>
      <c r="H57" s="8">
        <f>(SPY[[#This Row],[Open]]-SPY[[#This Row],[Close]])/SPY[[#This Row],[Open]] * 100</f>
        <v>0.10815776009539624</v>
      </c>
      <c r="I57">
        <f>IF(SPY[[#This Row],[Volume]] &gt; 71975900+ 1.5 * 42542200, SPY[[#This Row],[Gain]], 0)</f>
        <v>0</v>
      </c>
      <c r="J57" s="8">
        <f>IF(SPY[[#This Row],[Volume]] &lt; 79378480 - 1.5 * 42542200, SPY[[#This Row],[Gain]], 0)</f>
        <v>0</v>
      </c>
    </row>
    <row r="58" spans="1:10" x14ac:dyDescent="0.2">
      <c r="A58" s="1">
        <v>44321</v>
      </c>
      <c r="B58">
        <v>417.38000499999998</v>
      </c>
      <c r="C58">
        <v>417.63000499999998</v>
      </c>
      <c r="D58">
        <v>415.14999399999999</v>
      </c>
      <c r="E58">
        <v>415.75</v>
      </c>
      <c r="F58">
        <v>411.62481700000001</v>
      </c>
      <c r="G58">
        <v>60162200</v>
      </c>
      <c r="H58" s="8">
        <f>(SPY[[#This Row],[Open]]-SPY[[#This Row],[Close]])/SPY[[#This Row],[Open]] * 100</f>
        <v>0.39053260349641877</v>
      </c>
      <c r="I58">
        <f>IF(SPY[[#This Row],[Volume]] &gt; 71975900+ 1.5 * 42542200, SPY[[#This Row],[Gain]], 0)</f>
        <v>0</v>
      </c>
      <c r="J58" s="8">
        <f>IF(SPY[[#This Row],[Volume]] &lt; 79378480 - 1.5 * 42542200, SPY[[#This Row],[Gain]], 0)</f>
        <v>0</v>
      </c>
    </row>
    <row r="59" spans="1:10" x14ac:dyDescent="0.2">
      <c r="A59" s="1">
        <v>44322</v>
      </c>
      <c r="B59">
        <v>415.82998700000002</v>
      </c>
      <c r="C59">
        <v>419.209991</v>
      </c>
      <c r="D59">
        <v>413.67999300000002</v>
      </c>
      <c r="E59">
        <v>419.07000699999998</v>
      </c>
      <c r="F59">
        <v>414.91186499999998</v>
      </c>
      <c r="G59">
        <v>74321400</v>
      </c>
      <c r="H59" s="8">
        <f>(SPY[[#This Row],[Open]]-SPY[[#This Row],[Close]])/SPY[[#This Row],[Open]] * 100</f>
        <v>-0.77916939645816319</v>
      </c>
      <c r="I59">
        <f>IF(SPY[[#This Row],[Volume]] &gt; 71975900+ 1.5 * 42542200, SPY[[#This Row],[Gain]], 0)</f>
        <v>0</v>
      </c>
      <c r="J59" s="8">
        <f>IF(SPY[[#This Row],[Volume]] &lt; 79378480 - 1.5 * 42542200, SPY[[#This Row],[Gain]], 0)</f>
        <v>0</v>
      </c>
    </row>
    <row r="60" spans="1:10" x14ac:dyDescent="0.2">
      <c r="A60" s="1">
        <v>44323</v>
      </c>
      <c r="B60">
        <v>419.89001500000001</v>
      </c>
      <c r="C60">
        <v>422.82000699999998</v>
      </c>
      <c r="D60">
        <v>419.16000400000001</v>
      </c>
      <c r="E60">
        <v>422.11999500000002</v>
      </c>
      <c r="F60">
        <v>417.93158</v>
      </c>
      <c r="G60">
        <v>67733800</v>
      </c>
      <c r="H60" s="8">
        <f>(SPY[[#This Row],[Open]]-SPY[[#This Row],[Close]])/SPY[[#This Row],[Open]] * 100</f>
        <v>-0.53108669421443899</v>
      </c>
      <c r="I60">
        <f>IF(SPY[[#This Row],[Volume]] &gt; 71975900+ 1.5 * 42542200, SPY[[#This Row],[Gain]], 0)</f>
        <v>0</v>
      </c>
      <c r="J60" s="8">
        <f>IF(SPY[[#This Row],[Volume]] &lt; 79378480 - 1.5 * 42542200, SPY[[#This Row],[Gain]], 0)</f>
        <v>0</v>
      </c>
    </row>
    <row r="61" spans="1:10" x14ac:dyDescent="0.2">
      <c r="A61" s="1">
        <v>44326</v>
      </c>
      <c r="B61">
        <v>422.5</v>
      </c>
      <c r="C61">
        <v>422.73998999999998</v>
      </c>
      <c r="D61">
        <v>417.80999800000001</v>
      </c>
      <c r="E61">
        <v>417.94000199999999</v>
      </c>
      <c r="F61">
        <v>413.79306000000003</v>
      </c>
      <c r="G61">
        <v>81852400</v>
      </c>
      <c r="H61" s="8">
        <f>(SPY[[#This Row],[Open]]-SPY[[#This Row],[Close]])/SPY[[#This Row],[Open]] * 100</f>
        <v>1.079289467455623</v>
      </c>
      <c r="I61">
        <f>IF(SPY[[#This Row],[Volume]] &gt; 71975900+ 1.5 * 42542200, SPY[[#This Row],[Gain]], 0)</f>
        <v>0</v>
      </c>
      <c r="J61" s="8">
        <f>IF(SPY[[#This Row],[Volume]] &lt; 79378480 - 1.5 * 42542200, SPY[[#This Row],[Gain]], 0)</f>
        <v>0</v>
      </c>
    </row>
    <row r="62" spans="1:10" x14ac:dyDescent="0.2">
      <c r="A62" s="1">
        <v>44327</v>
      </c>
      <c r="B62">
        <v>413.10000600000001</v>
      </c>
      <c r="C62">
        <v>415.26998900000001</v>
      </c>
      <c r="D62">
        <v>410.05999800000001</v>
      </c>
      <c r="E62">
        <v>414.209991</v>
      </c>
      <c r="F62">
        <v>410.100098</v>
      </c>
      <c r="G62">
        <v>116888000</v>
      </c>
      <c r="H62" s="8">
        <f>(SPY[[#This Row],[Open]]-SPY[[#This Row],[Close]])/SPY[[#This Row],[Open]] * 100</f>
        <v>-0.26869643763694223</v>
      </c>
      <c r="I62">
        <f>IF(SPY[[#This Row],[Volume]] &gt; 71975900+ 1.5 * 42542200, SPY[[#This Row],[Gain]], 0)</f>
        <v>0</v>
      </c>
      <c r="J62" s="8">
        <f>IF(SPY[[#This Row],[Volume]] &lt; 79378480 - 1.5 * 42542200, SPY[[#This Row],[Gain]], 0)</f>
        <v>0</v>
      </c>
    </row>
    <row r="63" spans="1:10" x14ac:dyDescent="0.2">
      <c r="A63" s="1">
        <v>44328</v>
      </c>
      <c r="B63">
        <v>411.23001099999999</v>
      </c>
      <c r="C63">
        <v>412.58999599999999</v>
      </c>
      <c r="D63">
        <v>404</v>
      </c>
      <c r="E63">
        <v>405.41000400000001</v>
      </c>
      <c r="F63">
        <v>401.38742100000002</v>
      </c>
      <c r="G63">
        <v>134811000</v>
      </c>
      <c r="H63" s="8">
        <f>(SPY[[#This Row],[Open]]-SPY[[#This Row],[Close]])/SPY[[#This Row],[Open]] * 100</f>
        <v>1.4152680602875494</v>
      </c>
      <c r="I63">
        <f>IF(SPY[[#This Row],[Volume]] &gt; 71975900+ 1.5 * 42542200, SPY[[#This Row],[Gain]], 0)</f>
        <v>0</v>
      </c>
      <c r="J63" s="8">
        <f>IF(SPY[[#This Row],[Volume]] &lt; 79378480 - 1.5 * 42542200, SPY[[#This Row],[Gain]], 0)</f>
        <v>0</v>
      </c>
    </row>
    <row r="64" spans="1:10" x14ac:dyDescent="0.2">
      <c r="A64" s="1">
        <v>44329</v>
      </c>
      <c r="B64">
        <v>407.07000699999998</v>
      </c>
      <c r="C64">
        <v>412.35000600000001</v>
      </c>
      <c r="D64">
        <v>407.01998900000001</v>
      </c>
      <c r="E64">
        <v>410.27999899999998</v>
      </c>
      <c r="F64">
        <v>406.209045</v>
      </c>
      <c r="G64">
        <v>106394000</v>
      </c>
      <c r="H64" s="8">
        <f>(SPY[[#This Row],[Open]]-SPY[[#This Row],[Close]])/SPY[[#This Row],[Open]] * 100</f>
        <v>-0.78856018493153179</v>
      </c>
      <c r="I64">
        <f>IF(SPY[[#This Row],[Volume]] &gt; 71975900+ 1.5 * 42542200, SPY[[#This Row],[Gain]], 0)</f>
        <v>0</v>
      </c>
      <c r="J64" s="8">
        <f>IF(SPY[[#This Row],[Volume]] &lt; 79378480 - 1.5 * 42542200, SPY[[#This Row],[Gain]], 0)</f>
        <v>0</v>
      </c>
    </row>
    <row r="65" spans="1:10" x14ac:dyDescent="0.2">
      <c r="A65" s="1">
        <v>44330</v>
      </c>
      <c r="B65">
        <v>413.209991</v>
      </c>
      <c r="C65">
        <v>417.48998999999998</v>
      </c>
      <c r="D65">
        <v>413.17999300000002</v>
      </c>
      <c r="E65">
        <v>416.57998700000002</v>
      </c>
      <c r="F65">
        <v>412.44653299999999</v>
      </c>
      <c r="G65">
        <v>82201600</v>
      </c>
      <c r="H65" s="8">
        <f>(SPY[[#This Row],[Open]]-SPY[[#This Row],[Close]])/SPY[[#This Row],[Open]] * 100</f>
        <v>-0.81556498472952332</v>
      </c>
      <c r="I65">
        <f>IF(SPY[[#This Row],[Volume]] &gt; 71975900+ 1.5 * 42542200, SPY[[#This Row],[Gain]], 0)</f>
        <v>0</v>
      </c>
      <c r="J65" s="8">
        <f>IF(SPY[[#This Row],[Volume]] &lt; 79378480 - 1.5 * 42542200, SPY[[#This Row],[Gain]], 0)</f>
        <v>0</v>
      </c>
    </row>
    <row r="66" spans="1:10" x14ac:dyDescent="0.2">
      <c r="A66" s="1">
        <v>44333</v>
      </c>
      <c r="B66">
        <v>415.39001500000001</v>
      </c>
      <c r="C66">
        <v>416.39001500000001</v>
      </c>
      <c r="D66">
        <v>413.35998499999999</v>
      </c>
      <c r="E66">
        <v>415.51998900000001</v>
      </c>
      <c r="F66">
        <v>411.397064</v>
      </c>
      <c r="G66">
        <v>65129200</v>
      </c>
      <c r="H66" s="8">
        <f>(SPY[[#This Row],[Open]]-SPY[[#This Row],[Close]])/SPY[[#This Row],[Open]] * 100</f>
        <v>-3.1289630300816031E-2</v>
      </c>
      <c r="I66">
        <f>IF(SPY[[#This Row],[Volume]] &gt; 71975900+ 1.5 * 42542200, SPY[[#This Row],[Gain]], 0)</f>
        <v>0</v>
      </c>
      <c r="J66" s="8">
        <f>IF(SPY[[#This Row],[Volume]] &lt; 79378480 - 1.5 * 42542200, SPY[[#This Row],[Gain]], 0)</f>
        <v>0</v>
      </c>
    </row>
    <row r="67" spans="1:10" x14ac:dyDescent="0.2">
      <c r="A67" s="1">
        <v>44334</v>
      </c>
      <c r="B67">
        <v>415.79998799999998</v>
      </c>
      <c r="C67">
        <v>416.05999800000001</v>
      </c>
      <c r="D67">
        <v>411.76998900000001</v>
      </c>
      <c r="E67">
        <v>411.94000199999999</v>
      </c>
      <c r="F67">
        <v>407.8526</v>
      </c>
      <c r="G67">
        <v>59810200</v>
      </c>
      <c r="H67" s="8">
        <f>(SPY[[#This Row],[Open]]-SPY[[#This Row],[Close]])/SPY[[#This Row],[Open]] * 100</f>
        <v>0.92832758811912042</v>
      </c>
      <c r="I67">
        <f>IF(SPY[[#This Row],[Volume]] &gt; 71975900+ 1.5 * 42542200, SPY[[#This Row],[Gain]], 0)</f>
        <v>0</v>
      </c>
      <c r="J67" s="8">
        <f>IF(SPY[[#This Row],[Volume]] &lt; 79378480 - 1.5 * 42542200, SPY[[#This Row],[Gain]], 0)</f>
        <v>0</v>
      </c>
    </row>
    <row r="68" spans="1:10" x14ac:dyDescent="0.2">
      <c r="A68" s="1">
        <v>44335</v>
      </c>
      <c r="B68">
        <v>406.92001299999998</v>
      </c>
      <c r="C68">
        <v>411.04998799999998</v>
      </c>
      <c r="D68">
        <v>405.32998700000002</v>
      </c>
      <c r="E68">
        <v>410.85998499999999</v>
      </c>
      <c r="F68">
        <v>406.78329500000001</v>
      </c>
      <c r="G68">
        <v>106467100</v>
      </c>
      <c r="H68" s="8">
        <f>(SPY[[#This Row],[Open]]-SPY[[#This Row],[Close]])/SPY[[#This Row],[Open]] * 100</f>
        <v>-0.96824237543706448</v>
      </c>
      <c r="I68">
        <f>IF(SPY[[#This Row],[Volume]] &gt; 71975900+ 1.5 * 42542200, SPY[[#This Row],[Gain]], 0)</f>
        <v>0</v>
      </c>
      <c r="J68" s="8">
        <f>IF(SPY[[#This Row],[Volume]] &lt; 79378480 - 1.5 * 42542200, SPY[[#This Row],[Gain]], 0)</f>
        <v>0</v>
      </c>
    </row>
    <row r="69" spans="1:10" x14ac:dyDescent="0.2">
      <c r="A69" s="1">
        <v>44336</v>
      </c>
      <c r="B69">
        <v>411.79998799999998</v>
      </c>
      <c r="C69">
        <v>416.63000499999998</v>
      </c>
      <c r="D69">
        <v>411.67001299999998</v>
      </c>
      <c r="E69">
        <v>415.27999899999998</v>
      </c>
      <c r="F69">
        <v>411.15948500000002</v>
      </c>
      <c r="G69">
        <v>78022200</v>
      </c>
      <c r="H69" s="8">
        <f>(SPY[[#This Row],[Open]]-SPY[[#This Row],[Close]])/SPY[[#This Row],[Open]] * 100</f>
        <v>-0.84507311836055488</v>
      </c>
      <c r="I69">
        <f>IF(SPY[[#This Row],[Volume]] &gt; 71975900+ 1.5 * 42542200, SPY[[#This Row],[Gain]], 0)</f>
        <v>0</v>
      </c>
      <c r="J69" s="8">
        <f>IF(SPY[[#This Row],[Volume]] &lt; 79378480 - 1.5 * 42542200, SPY[[#This Row],[Gain]], 0)</f>
        <v>0</v>
      </c>
    </row>
    <row r="70" spans="1:10" x14ac:dyDescent="0.2">
      <c r="A70" s="1">
        <v>44337</v>
      </c>
      <c r="B70">
        <v>416.86999500000002</v>
      </c>
      <c r="C70">
        <v>418.20001200000002</v>
      </c>
      <c r="D70">
        <v>414.45001200000002</v>
      </c>
      <c r="E70">
        <v>414.94000199999999</v>
      </c>
      <c r="F70">
        <v>410.82284499999997</v>
      </c>
      <c r="G70">
        <v>76578700</v>
      </c>
      <c r="H70" s="8">
        <f>(SPY[[#This Row],[Open]]-SPY[[#This Row],[Close]])/SPY[[#This Row],[Open]] * 100</f>
        <v>0.46297239502690152</v>
      </c>
      <c r="I70">
        <f>IF(SPY[[#This Row],[Volume]] &gt; 71975900+ 1.5 * 42542200, SPY[[#This Row],[Gain]], 0)</f>
        <v>0</v>
      </c>
      <c r="J70" s="8">
        <f>IF(SPY[[#This Row],[Volume]] &lt; 79378480 - 1.5 * 42542200, SPY[[#This Row],[Gain]], 0)</f>
        <v>0</v>
      </c>
    </row>
    <row r="71" spans="1:10" x14ac:dyDescent="0.2">
      <c r="A71" s="1">
        <v>44340</v>
      </c>
      <c r="B71">
        <v>417.33999599999999</v>
      </c>
      <c r="C71">
        <v>420.32000699999998</v>
      </c>
      <c r="D71">
        <v>417.07998700000002</v>
      </c>
      <c r="E71">
        <v>419.17001299999998</v>
      </c>
      <c r="F71">
        <v>415.01086400000003</v>
      </c>
      <c r="G71">
        <v>51376700</v>
      </c>
      <c r="H71" s="8">
        <f>(SPY[[#This Row],[Open]]-SPY[[#This Row],[Close]])/SPY[[#This Row],[Open]] * 100</f>
        <v>-0.43849547552111401</v>
      </c>
      <c r="I71">
        <f>IF(SPY[[#This Row],[Volume]] &gt; 71975900+ 1.5 * 42542200, SPY[[#This Row],[Gain]], 0)</f>
        <v>0</v>
      </c>
      <c r="J71" s="8">
        <f>IF(SPY[[#This Row],[Volume]] &lt; 79378480 - 1.5 * 42542200, SPY[[#This Row],[Gain]], 0)</f>
        <v>0</v>
      </c>
    </row>
    <row r="72" spans="1:10" x14ac:dyDescent="0.2">
      <c r="A72" s="1">
        <v>44341</v>
      </c>
      <c r="B72">
        <v>420.32998700000002</v>
      </c>
      <c r="C72">
        <v>420.709991</v>
      </c>
      <c r="D72">
        <v>417.61999500000002</v>
      </c>
      <c r="E72">
        <v>418.23998999999998</v>
      </c>
      <c r="F72">
        <v>414.090057</v>
      </c>
      <c r="G72">
        <v>57451400</v>
      </c>
      <c r="H72" s="8">
        <f>(SPY[[#This Row],[Open]]-SPY[[#This Row],[Close]])/SPY[[#This Row],[Open]] * 100</f>
        <v>0.497227669840277</v>
      </c>
      <c r="I72">
        <f>IF(SPY[[#This Row],[Volume]] &gt; 71975900+ 1.5 * 42542200, SPY[[#This Row],[Gain]], 0)</f>
        <v>0</v>
      </c>
      <c r="J72" s="8">
        <f>IF(SPY[[#This Row],[Volume]] &lt; 79378480 - 1.5 * 42542200, SPY[[#This Row],[Gain]], 0)</f>
        <v>0</v>
      </c>
    </row>
    <row r="73" spans="1:10" x14ac:dyDescent="0.2">
      <c r="A73" s="1">
        <v>44342</v>
      </c>
      <c r="B73">
        <v>418.86999500000002</v>
      </c>
      <c r="C73">
        <v>419.60998499999999</v>
      </c>
      <c r="D73">
        <v>417.76001000000002</v>
      </c>
      <c r="E73">
        <v>419.07000699999998</v>
      </c>
      <c r="F73">
        <v>414.91186499999998</v>
      </c>
      <c r="G73">
        <v>43088600</v>
      </c>
      <c r="H73" s="8">
        <f>(SPY[[#This Row],[Open]]-SPY[[#This Row],[Close]])/SPY[[#This Row],[Open]] * 100</f>
        <v>-4.7750376581630852E-2</v>
      </c>
      <c r="I73">
        <f>IF(SPY[[#This Row],[Volume]] &gt; 71975900+ 1.5 * 42542200, SPY[[#This Row],[Gain]], 0)</f>
        <v>0</v>
      </c>
      <c r="J73" s="8">
        <f>IF(SPY[[#This Row],[Volume]] &lt; 79378480 - 1.5 * 42542200, SPY[[#This Row],[Gain]], 0)</f>
        <v>0</v>
      </c>
    </row>
    <row r="74" spans="1:10" x14ac:dyDescent="0.2">
      <c r="A74" s="1">
        <v>44343</v>
      </c>
      <c r="B74">
        <v>420.17001299999998</v>
      </c>
      <c r="C74">
        <v>420.72000100000002</v>
      </c>
      <c r="D74">
        <v>418.98998999999998</v>
      </c>
      <c r="E74">
        <v>419.290009</v>
      </c>
      <c r="F74">
        <v>415.12966899999998</v>
      </c>
      <c r="G74">
        <v>56707700</v>
      </c>
      <c r="H74" s="8">
        <f>(SPY[[#This Row],[Open]]-SPY[[#This Row],[Close]])/SPY[[#This Row],[Open]] * 100</f>
        <v>0.20943998209600584</v>
      </c>
      <c r="I74">
        <f>IF(SPY[[#This Row],[Volume]] &gt; 71975900+ 1.5 * 42542200, SPY[[#This Row],[Gain]], 0)</f>
        <v>0</v>
      </c>
      <c r="J74" s="8">
        <f>IF(SPY[[#This Row],[Volume]] &lt; 79378480 - 1.5 * 42542200, SPY[[#This Row],[Gain]], 0)</f>
        <v>0</v>
      </c>
    </row>
    <row r="75" spans="1:10" x14ac:dyDescent="0.2">
      <c r="A75" s="1">
        <v>44344</v>
      </c>
      <c r="B75">
        <v>420.97000100000002</v>
      </c>
      <c r="C75">
        <v>421.25</v>
      </c>
      <c r="D75">
        <v>419.790009</v>
      </c>
      <c r="E75">
        <v>420.040009</v>
      </c>
      <c r="F75">
        <v>415.872253</v>
      </c>
      <c r="G75">
        <v>58520200</v>
      </c>
      <c r="H75" s="8">
        <f>(SPY[[#This Row],[Open]]-SPY[[#This Row],[Close]])/SPY[[#This Row],[Open]] * 100</f>
        <v>0.220916454329492</v>
      </c>
      <c r="I75">
        <f>IF(SPY[[#This Row],[Volume]] &gt; 71975900+ 1.5 * 42542200, SPY[[#This Row],[Gain]], 0)</f>
        <v>0</v>
      </c>
      <c r="J75" s="8">
        <f>IF(SPY[[#This Row],[Volume]] &lt; 79378480 - 1.5 * 42542200, SPY[[#This Row],[Gain]], 0)</f>
        <v>0</v>
      </c>
    </row>
    <row r="76" spans="1:10" x14ac:dyDescent="0.2">
      <c r="A76" s="1">
        <v>44348</v>
      </c>
      <c r="B76">
        <v>422.57000699999998</v>
      </c>
      <c r="C76">
        <v>422.72000100000002</v>
      </c>
      <c r="D76">
        <v>419.20001200000002</v>
      </c>
      <c r="E76">
        <v>419.67001299999998</v>
      </c>
      <c r="F76">
        <v>415.50592</v>
      </c>
      <c r="G76">
        <v>54216600</v>
      </c>
      <c r="H76" s="8">
        <f>(SPY[[#This Row],[Open]]-SPY[[#This Row],[Close]])/SPY[[#This Row],[Open]] * 100</f>
        <v>0.68627539862288256</v>
      </c>
      <c r="I76">
        <f>IF(SPY[[#This Row],[Volume]] &gt; 71975900+ 1.5 * 42542200, SPY[[#This Row],[Gain]], 0)</f>
        <v>0</v>
      </c>
      <c r="J76" s="8">
        <f>IF(SPY[[#This Row],[Volume]] &lt; 79378480 - 1.5 * 42542200, SPY[[#This Row],[Gain]], 0)</f>
        <v>0</v>
      </c>
    </row>
    <row r="77" spans="1:10" x14ac:dyDescent="0.2">
      <c r="A77" s="1">
        <v>44349</v>
      </c>
      <c r="B77">
        <v>420.36999500000002</v>
      </c>
      <c r="C77">
        <v>421.23001099999999</v>
      </c>
      <c r="D77">
        <v>419.290009</v>
      </c>
      <c r="E77">
        <v>420.32998700000002</v>
      </c>
      <c r="F77">
        <v>416.15936299999998</v>
      </c>
      <c r="G77">
        <v>49097100</v>
      </c>
      <c r="H77" s="8">
        <f>(SPY[[#This Row],[Open]]-SPY[[#This Row],[Close]])/SPY[[#This Row],[Open]] * 100</f>
        <v>9.5173300844177203E-3</v>
      </c>
      <c r="I77">
        <f>IF(SPY[[#This Row],[Volume]] &gt; 71975900+ 1.5 * 42542200, SPY[[#This Row],[Gain]], 0)</f>
        <v>0</v>
      </c>
      <c r="J77" s="8">
        <f>IF(SPY[[#This Row],[Volume]] &lt; 79378480 - 1.5 * 42542200, SPY[[#This Row],[Gain]], 0)</f>
        <v>0</v>
      </c>
    </row>
    <row r="78" spans="1:10" x14ac:dyDescent="0.2">
      <c r="A78" s="1">
        <v>44350</v>
      </c>
      <c r="B78">
        <v>417.85000600000001</v>
      </c>
      <c r="C78">
        <v>419.98998999999998</v>
      </c>
      <c r="D78">
        <v>416.27999899999998</v>
      </c>
      <c r="E78">
        <v>418.76998900000001</v>
      </c>
      <c r="F78">
        <v>414.61483800000002</v>
      </c>
      <c r="G78">
        <v>58138800</v>
      </c>
      <c r="H78" s="8">
        <f>(SPY[[#This Row],[Open]]-SPY[[#This Row],[Close]])/SPY[[#This Row],[Open]] * 100</f>
        <v>-0.2201706322339988</v>
      </c>
      <c r="I78">
        <f>IF(SPY[[#This Row],[Volume]] &gt; 71975900+ 1.5 * 42542200, SPY[[#This Row],[Gain]], 0)</f>
        <v>0</v>
      </c>
      <c r="J78" s="8">
        <f>IF(SPY[[#This Row],[Volume]] &lt; 79378480 - 1.5 * 42542200, SPY[[#This Row],[Gain]], 0)</f>
        <v>0</v>
      </c>
    </row>
    <row r="79" spans="1:10" x14ac:dyDescent="0.2">
      <c r="A79" s="1">
        <v>44351</v>
      </c>
      <c r="B79">
        <v>420.75</v>
      </c>
      <c r="C79">
        <v>422.92001299999998</v>
      </c>
      <c r="D79">
        <v>418.83999599999999</v>
      </c>
      <c r="E79">
        <v>422.60000600000001</v>
      </c>
      <c r="F79">
        <v>418.40683000000001</v>
      </c>
      <c r="G79">
        <v>55938800</v>
      </c>
      <c r="H79" s="8">
        <f>(SPY[[#This Row],[Open]]-SPY[[#This Row],[Close]])/SPY[[#This Row],[Open]] * 100</f>
        <v>-0.43969245395127932</v>
      </c>
      <c r="I79">
        <f>IF(SPY[[#This Row],[Volume]] &gt; 71975900+ 1.5 * 42542200, SPY[[#This Row],[Gain]], 0)</f>
        <v>0</v>
      </c>
      <c r="J79" s="8">
        <f>IF(SPY[[#This Row],[Volume]] &lt; 79378480 - 1.5 * 42542200, SPY[[#This Row],[Gain]], 0)</f>
        <v>0</v>
      </c>
    </row>
    <row r="80" spans="1:10" x14ac:dyDescent="0.2">
      <c r="A80" s="1">
        <v>44354</v>
      </c>
      <c r="B80">
        <v>422.58999599999999</v>
      </c>
      <c r="C80">
        <v>422.77999899999998</v>
      </c>
      <c r="D80">
        <v>421.19000199999999</v>
      </c>
      <c r="E80">
        <v>422.19000199999999</v>
      </c>
      <c r="F80">
        <v>418.00091600000002</v>
      </c>
      <c r="G80">
        <v>51555000</v>
      </c>
      <c r="H80" s="8">
        <f>(SPY[[#This Row],[Open]]-SPY[[#This Row],[Close]])/SPY[[#This Row],[Open]] * 100</f>
        <v>9.4652974227054931E-2</v>
      </c>
      <c r="I80">
        <f>IF(SPY[[#This Row],[Volume]] &gt; 71975900+ 1.5 * 42542200, SPY[[#This Row],[Gain]], 0)</f>
        <v>0</v>
      </c>
      <c r="J80" s="8">
        <f>IF(SPY[[#This Row],[Volume]] &lt; 79378480 - 1.5 * 42542200, SPY[[#This Row],[Gain]], 0)</f>
        <v>0</v>
      </c>
    </row>
    <row r="81" spans="1:10" x14ac:dyDescent="0.2">
      <c r="A81" s="1">
        <v>44355</v>
      </c>
      <c r="B81">
        <v>423.10998499999999</v>
      </c>
      <c r="C81">
        <v>423.209991</v>
      </c>
      <c r="D81">
        <v>420.32000699999998</v>
      </c>
      <c r="E81">
        <v>422.27999899999998</v>
      </c>
      <c r="F81">
        <v>418.09002700000002</v>
      </c>
      <c r="G81">
        <v>47134300</v>
      </c>
      <c r="H81" s="8">
        <f>(SPY[[#This Row],[Open]]-SPY[[#This Row],[Close]])/SPY[[#This Row],[Open]] * 100</f>
        <v>0.19616317965174454</v>
      </c>
      <c r="I81">
        <f>IF(SPY[[#This Row],[Volume]] &gt; 71975900+ 1.5 * 42542200, SPY[[#This Row],[Gain]], 0)</f>
        <v>0</v>
      </c>
      <c r="J81" s="8">
        <f>IF(SPY[[#This Row],[Volume]] &lt; 79378480 - 1.5 * 42542200, SPY[[#This Row],[Gain]], 0)</f>
        <v>0</v>
      </c>
    </row>
    <row r="82" spans="1:10" x14ac:dyDescent="0.2">
      <c r="A82" s="1">
        <v>44356</v>
      </c>
      <c r="B82">
        <v>423.17999300000002</v>
      </c>
      <c r="C82">
        <v>423.26001000000002</v>
      </c>
      <c r="D82">
        <v>421.41000400000001</v>
      </c>
      <c r="E82">
        <v>421.64999399999999</v>
      </c>
      <c r="F82">
        <v>417.46624800000001</v>
      </c>
      <c r="G82">
        <v>48436300</v>
      </c>
      <c r="H82" s="8">
        <f>(SPY[[#This Row],[Open]]-SPY[[#This Row],[Close]])/SPY[[#This Row],[Open]] * 100</f>
        <v>0.36154804700325993</v>
      </c>
      <c r="I82">
        <f>IF(SPY[[#This Row],[Volume]] &gt; 71975900+ 1.5 * 42542200, SPY[[#This Row],[Gain]], 0)</f>
        <v>0</v>
      </c>
      <c r="J82" s="8">
        <f>IF(SPY[[#This Row],[Volume]] &lt; 79378480 - 1.5 * 42542200, SPY[[#This Row],[Gain]], 0)</f>
        <v>0</v>
      </c>
    </row>
    <row r="83" spans="1:10" x14ac:dyDescent="0.2">
      <c r="A83" s="1">
        <v>44357</v>
      </c>
      <c r="B83">
        <v>422.959991</v>
      </c>
      <c r="C83">
        <v>424.63000499999998</v>
      </c>
      <c r="D83">
        <v>421.54998799999998</v>
      </c>
      <c r="E83">
        <v>423.60998499999999</v>
      </c>
      <c r="F83">
        <v>419.406769</v>
      </c>
      <c r="G83">
        <v>51020100</v>
      </c>
      <c r="H83" s="8">
        <f>(SPY[[#This Row],[Open]]-SPY[[#This Row],[Close]])/SPY[[#This Row],[Open]] * 100</f>
        <v>-0.15367741957418199</v>
      </c>
      <c r="I83">
        <f>IF(SPY[[#This Row],[Volume]] &gt; 71975900+ 1.5 * 42542200, SPY[[#This Row],[Gain]], 0)</f>
        <v>0</v>
      </c>
      <c r="J83" s="8">
        <f>IF(SPY[[#This Row],[Volume]] &lt; 79378480 - 1.5 * 42542200, SPY[[#This Row],[Gain]], 0)</f>
        <v>0</v>
      </c>
    </row>
    <row r="84" spans="1:10" x14ac:dyDescent="0.2">
      <c r="A84" s="1">
        <v>44358</v>
      </c>
      <c r="B84">
        <v>424.20001200000002</v>
      </c>
      <c r="C84">
        <v>424.42999300000002</v>
      </c>
      <c r="D84">
        <v>422.82000699999998</v>
      </c>
      <c r="E84">
        <v>424.30999800000001</v>
      </c>
      <c r="F84">
        <v>420.09985399999999</v>
      </c>
      <c r="G84">
        <v>45570800</v>
      </c>
      <c r="H84" s="8">
        <f>(SPY[[#This Row],[Open]]-SPY[[#This Row],[Close]])/SPY[[#This Row],[Open]] * 100</f>
        <v>-2.5927863481529593E-2</v>
      </c>
      <c r="I84">
        <f>IF(SPY[[#This Row],[Volume]] &gt; 71975900+ 1.5 * 42542200, SPY[[#This Row],[Gain]], 0)</f>
        <v>0</v>
      </c>
      <c r="J84" s="8">
        <f>IF(SPY[[#This Row],[Volume]] &lt; 79378480 - 1.5 * 42542200, SPY[[#This Row],[Gain]], 0)</f>
        <v>0</v>
      </c>
    </row>
    <row r="85" spans="1:10" x14ac:dyDescent="0.2">
      <c r="A85" s="1">
        <v>44361</v>
      </c>
      <c r="B85">
        <v>424.42999300000002</v>
      </c>
      <c r="C85">
        <v>425.36999500000002</v>
      </c>
      <c r="D85">
        <v>423.10000600000001</v>
      </c>
      <c r="E85">
        <v>425.26001000000002</v>
      </c>
      <c r="F85">
        <v>421.04046599999998</v>
      </c>
      <c r="G85">
        <v>42358500</v>
      </c>
      <c r="H85" s="8">
        <f>(SPY[[#This Row],[Open]]-SPY[[#This Row],[Close]])/SPY[[#This Row],[Open]] * 100</f>
        <v>-0.19556040187763027</v>
      </c>
      <c r="I85">
        <f>IF(SPY[[#This Row],[Volume]] &gt; 71975900+ 1.5 * 42542200, SPY[[#This Row],[Gain]], 0)</f>
        <v>0</v>
      </c>
      <c r="J85" s="8">
        <f>IF(SPY[[#This Row],[Volume]] &lt; 79378480 - 1.5 * 42542200, SPY[[#This Row],[Gain]], 0)</f>
        <v>0</v>
      </c>
    </row>
    <row r="86" spans="1:10" x14ac:dyDescent="0.2">
      <c r="A86" s="1">
        <v>44362</v>
      </c>
      <c r="B86">
        <v>425.42001299999998</v>
      </c>
      <c r="C86">
        <v>425.459991</v>
      </c>
      <c r="D86">
        <v>423.540009</v>
      </c>
      <c r="E86">
        <v>424.48001099999999</v>
      </c>
      <c r="F86">
        <v>420.26818800000001</v>
      </c>
      <c r="G86">
        <v>51508500</v>
      </c>
      <c r="H86" s="8">
        <f>(SPY[[#This Row],[Open]]-SPY[[#This Row],[Close]])/SPY[[#This Row],[Open]] * 100</f>
        <v>0.22095857535503219</v>
      </c>
      <c r="I86">
        <f>IF(SPY[[#This Row],[Volume]] &gt; 71975900+ 1.5 * 42542200, SPY[[#This Row],[Gain]], 0)</f>
        <v>0</v>
      </c>
      <c r="J86" s="8">
        <f>IF(SPY[[#This Row],[Volume]] &lt; 79378480 - 1.5 * 42542200, SPY[[#This Row],[Gain]], 0)</f>
        <v>0</v>
      </c>
    </row>
    <row r="87" spans="1:10" x14ac:dyDescent="0.2">
      <c r="A87" s="1">
        <v>44363</v>
      </c>
      <c r="B87">
        <v>424.63000499999998</v>
      </c>
      <c r="C87">
        <v>424.86999500000002</v>
      </c>
      <c r="D87">
        <v>419.92001299999998</v>
      </c>
      <c r="E87">
        <v>422.10998499999999</v>
      </c>
      <c r="F87">
        <v>417.92166099999997</v>
      </c>
      <c r="G87">
        <v>80386100</v>
      </c>
      <c r="H87" s="8">
        <f>(SPY[[#This Row],[Open]]-SPY[[#This Row],[Close]])/SPY[[#This Row],[Open]] * 100</f>
        <v>0.59346253687371631</v>
      </c>
      <c r="I87">
        <f>IF(SPY[[#This Row],[Volume]] &gt; 71975900+ 1.5 * 42542200, SPY[[#This Row],[Gain]], 0)</f>
        <v>0</v>
      </c>
      <c r="J87" s="8">
        <f>IF(SPY[[#This Row],[Volume]] &lt; 79378480 - 1.5 * 42542200, SPY[[#This Row],[Gain]], 0)</f>
        <v>0</v>
      </c>
    </row>
    <row r="88" spans="1:10" x14ac:dyDescent="0.2">
      <c r="A88" s="1">
        <v>44364</v>
      </c>
      <c r="B88">
        <v>421.67001299999998</v>
      </c>
      <c r="C88">
        <v>423.01998900000001</v>
      </c>
      <c r="D88">
        <v>419.32000699999998</v>
      </c>
      <c r="E88">
        <v>421.97000100000002</v>
      </c>
      <c r="F88">
        <v>417.78308099999998</v>
      </c>
      <c r="G88">
        <v>90949700</v>
      </c>
      <c r="H88" s="8">
        <f>(SPY[[#This Row],[Open]]-SPY[[#This Row],[Close]])/SPY[[#This Row],[Open]] * 100</f>
        <v>-7.1142834622210063E-2</v>
      </c>
      <c r="I88">
        <f>IF(SPY[[#This Row],[Volume]] &gt; 71975900+ 1.5 * 42542200, SPY[[#This Row],[Gain]], 0)</f>
        <v>0</v>
      </c>
      <c r="J88" s="8">
        <f>IF(SPY[[#This Row],[Volume]] &lt; 79378480 - 1.5 * 42542200, SPY[[#This Row],[Gain]], 0)</f>
        <v>0</v>
      </c>
    </row>
    <row r="89" spans="1:10" x14ac:dyDescent="0.2">
      <c r="A89" s="1">
        <v>44365</v>
      </c>
      <c r="B89">
        <v>417.08999599999999</v>
      </c>
      <c r="C89">
        <v>417.82998700000002</v>
      </c>
      <c r="D89">
        <v>414.70001200000002</v>
      </c>
      <c r="E89">
        <v>414.92001299999998</v>
      </c>
      <c r="F89">
        <v>412.14703400000002</v>
      </c>
      <c r="G89">
        <v>118676300</v>
      </c>
      <c r="H89" s="8">
        <f>(SPY[[#This Row],[Open]]-SPY[[#This Row],[Close]])/SPY[[#This Row],[Open]] * 100</f>
        <v>0.5202673333838489</v>
      </c>
      <c r="I89">
        <f>IF(SPY[[#This Row],[Volume]] &gt; 71975900+ 1.5 * 42542200, SPY[[#This Row],[Gain]], 0)</f>
        <v>0</v>
      </c>
      <c r="J89" s="8">
        <f>IF(SPY[[#This Row],[Volume]] &lt; 79378480 - 1.5 * 42542200, SPY[[#This Row],[Gain]], 0)</f>
        <v>0</v>
      </c>
    </row>
    <row r="90" spans="1:10" x14ac:dyDescent="0.2">
      <c r="A90" s="1">
        <v>44368</v>
      </c>
      <c r="B90">
        <v>416.79998799999998</v>
      </c>
      <c r="C90">
        <v>421.05999800000001</v>
      </c>
      <c r="D90">
        <v>415.92999300000002</v>
      </c>
      <c r="E90">
        <v>420.85998499999999</v>
      </c>
      <c r="F90">
        <v>418.047302</v>
      </c>
      <c r="G90">
        <v>72822000</v>
      </c>
      <c r="H90" s="8">
        <f>(SPY[[#This Row],[Open]]-SPY[[#This Row],[Close]])/SPY[[#This Row],[Open]] * 100</f>
        <v>-0.97408760002171824</v>
      </c>
      <c r="I90">
        <f>IF(SPY[[#This Row],[Volume]] &gt; 71975900+ 1.5 * 42542200, SPY[[#This Row],[Gain]], 0)</f>
        <v>0</v>
      </c>
      <c r="J90" s="8">
        <f>IF(SPY[[#This Row],[Volume]] &lt; 79378480 - 1.5 * 42542200, SPY[[#This Row],[Gain]], 0)</f>
        <v>0</v>
      </c>
    </row>
    <row r="91" spans="1:10" x14ac:dyDescent="0.2">
      <c r="A91" s="1">
        <v>44369</v>
      </c>
      <c r="B91">
        <v>420.85000600000001</v>
      </c>
      <c r="C91">
        <v>424</v>
      </c>
      <c r="D91">
        <v>420.07998700000002</v>
      </c>
      <c r="E91">
        <v>423.10998499999999</v>
      </c>
      <c r="F91">
        <v>420.28225700000002</v>
      </c>
      <c r="G91">
        <v>57700300</v>
      </c>
      <c r="H91" s="8">
        <f>(SPY[[#This Row],[Open]]-SPY[[#This Row],[Close]])/SPY[[#This Row],[Open]] * 100</f>
        <v>-0.53700343775211612</v>
      </c>
      <c r="I91">
        <f>IF(SPY[[#This Row],[Volume]] &gt; 71975900+ 1.5 * 42542200, SPY[[#This Row],[Gain]], 0)</f>
        <v>0</v>
      </c>
      <c r="J91" s="8">
        <f>IF(SPY[[#This Row],[Volume]] &lt; 79378480 - 1.5 * 42542200, SPY[[#This Row],[Gain]], 0)</f>
        <v>0</v>
      </c>
    </row>
    <row r="92" spans="1:10" x14ac:dyDescent="0.2">
      <c r="A92" s="1">
        <v>44370</v>
      </c>
      <c r="B92">
        <v>423.19000199999999</v>
      </c>
      <c r="C92">
        <v>424.04998799999998</v>
      </c>
      <c r="D92">
        <v>422.51001000000002</v>
      </c>
      <c r="E92">
        <v>422.60000600000001</v>
      </c>
      <c r="F92">
        <v>419.77569599999998</v>
      </c>
      <c r="G92">
        <v>49445400</v>
      </c>
      <c r="H92" s="8">
        <f>(SPY[[#This Row],[Open]]-SPY[[#This Row],[Close]])/SPY[[#This Row],[Open]] * 100</f>
        <v>0.1394163371562793</v>
      </c>
      <c r="I92">
        <f>IF(SPY[[#This Row],[Volume]] &gt; 71975900+ 1.5 * 42542200, SPY[[#This Row],[Gain]], 0)</f>
        <v>0</v>
      </c>
      <c r="J92" s="8">
        <f>IF(SPY[[#This Row],[Volume]] &lt; 79378480 - 1.5 * 42542200, SPY[[#This Row],[Gain]], 0)</f>
        <v>0</v>
      </c>
    </row>
    <row r="93" spans="1:10" x14ac:dyDescent="0.2">
      <c r="A93" s="1">
        <v>44371</v>
      </c>
      <c r="B93">
        <v>424.89001500000001</v>
      </c>
      <c r="C93">
        <v>425.54998799999998</v>
      </c>
      <c r="D93">
        <v>424.61999500000002</v>
      </c>
      <c r="E93">
        <v>425.10000600000001</v>
      </c>
      <c r="F93">
        <v>422.25897200000003</v>
      </c>
      <c r="G93">
        <v>45110300</v>
      </c>
      <c r="H93" s="8">
        <f>(SPY[[#This Row],[Open]]-SPY[[#This Row],[Close]])/SPY[[#This Row],[Open]] * 100</f>
        <v>-4.9422437004080284E-2</v>
      </c>
      <c r="I93">
        <f>IF(SPY[[#This Row],[Volume]] &gt; 71975900+ 1.5 * 42542200, SPY[[#This Row],[Gain]], 0)</f>
        <v>0</v>
      </c>
      <c r="J93" s="8">
        <f>IF(SPY[[#This Row],[Volume]] &lt; 79378480 - 1.5 * 42542200, SPY[[#This Row],[Gain]], 0)</f>
        <v>0</v>
      </c>
    </row>
    <row r="94" spans="1:10" x14ac:dyDescent="0.2">
      <c r="A94" s="1">
        <v>44372</v>
      </c>
      <c r="B94">
        <v>425.89999399999999</v>
      </c>
      <c r="C94">
        <v>427.08999599999999</v>
      </c>
      <c r="D94">
        <v>425.54998799999998</v>
      </c>
      <c r="E94">
        <v>426.60998499999999</v>
      </c>
      <c r="F94">
        <v>423.75885</v>
      </c>
      <c r="G94">
        <v>58129500</v>
      </c>
      <c r="H94" s="8">
        <f>(SPY[[#This Row],[Open]]-SPY[[#This Row],[Close]])/SPY[[#This Row],[Open]] * 100</f>
        <v>-0.16670368865983179</v>
      </c>
      <c r="I94">
        <f>IF(SPY[[#This Row],[Volume]] &gt; 71975900+ 1.5 * 42542200, SPY[[#This Row],[Gain]], 0)</f>
        <v>0</v>
      </c>
      <c r="J94" s="8">
        <f>IF(SPY[[#This Row],[Volume]] &lt; 79378480 - 1.5 * 42542200, SPY[[#This Row],[Gain]], 0)</f>
        <v>0</v>
      </c>
    </row>
    <row r="95" spans="1:10" x14ac:dyDescent="0.2">
      <c r="A95" s="1">
        <v>44375</v>
      </c>
      <c r="B95">
        <v>427.17001299999998</v>
      </c>
      <c r="C95">
        <v>427.64999399999999</v>
      </c>
      <c r="D95">
        <v>425.89001500000001</v>
      </c>
      <c r="E95">
        <v>427.47000100000002</v>
      </c>
      <c r="F95">
        <v>424.61312900000001</v>
      </c>
      <c r="G95">
        <v>53159600</v>
      </c>
      <c r="H95" s="8">
        <f>(SPY[[#This Row],[Open]]-SPY[[#This Row],[Close]])/SPY[[#This Row],[Open]] * 100</f>
        <v>-7.0226839635403354E-2</v>
      </c>
      <c r="I95">
        <f>IF(SPY[[#This Row],[Volume]] &gt; 71975900+ 1.5 * 42542200, SPY[[#This Row],[Gain]], 0)</f>
        <v>0</v>
      </c>
      <c r="J95" s="8">
        <f>IF(SPY[[#This Row],[Volume]] &lt; 79378480 - 1.5 * 42542200, SPY[[#This Row],[Gain]], 0)</f>
        <v>0</v>
      </c>
    </row>
    <row r="96" spans="1:10" x14ac:dyDescent="0.2">
      <c r="A96" s="1">
        <v>44376</v>
      </c>
      <c r="B96">
        <v>427.88000499999998</v>
      </c>
      <c r="C96">
        <v>428.55999800000001</v>
      </c>
      <c r="D96">
        <v>427.13000499999998</v>
      </c>
      <c r="E96">
        <v>427.70001200000002</v>
      </c>
      <c r="F96">
        <v>424.84158300000001</v>
      </c>
      <c r="G96">
        <v>35970500</v>
      </c>
      <c r="H96" s="8">
        <f>(SPY[[#This Row],[Open]]-SPY[[#This Row],[Close]])/SPY[[#This Row],[Open]] * 100</f>
        <v>4.2066233031844445E-2</v>
      </c>
      <c r="I96">
        <f>IF(SPY[[#This Row],[Volume]] &gt; 71975900+ 1.5 * 42542200, SPY[[#This Row],[Gain]], 0)</f>
        <v>0</v>
      </c>
      <c r="J96" s="8">
        <f>IF(SPY[[#This Row],[Volume]] &lt; 79378480 - 1.5 * 42542200, SPY[[#This Row],[Gain]], 0)</f>
        <v>0</v>
      </c>
    </row>
    <row r="97" spans="1:10" x14ac:dyDescent="0.2">
      <c r="A97" s="1">
        <v>44377</v>
      </c>
      <c r="B97">
        <v>427.209991</v>
      </c>
      <c r="C97">
        <v>428.77999899999998</v>
      </c>
      <c r="D97">
        <v>427.17999300000002</v>
      </c>
      <c r="E97">
        <v>428.05999800000001</v>
      </c>
      <c r="F97">
        <v>425.19918799999999</v>
      </c>
      <c r="G97">
        <v>64827900</v>
      </c>
      <c r="H97" s="8">
        <f>(SPY[[#This Row],[Open]]-SPY[[#This Row],[Close]])/SPY[[#This Row],[Open]] * 100</f>
        <v>-0.19896702275392364</v>
      </c>
      <c r="I97">
        <f>IF(SPY[[#This Row],[Volume]] &gt; 71975900+ 1.5 * 42542200, SPY[[#This Row],[Gain]], 0)</f>
        <v>0</v>
      </c>
      <c r="J97" s="8">
        <f>IF(SPY[[#This Row],[Volume]] &lt; 79378480 - 1.5 * 42542200, SPY[[#This Row],[Gain]], 0)</f>
        <v>0</v>
      </c>
    </row>
    <row r="98" spans="1:10" x14ac:dyDescent="0.2">
      <c r="A98" s="1">
        <v>44378</v>
      </c>
      <c r="B98">
        <v>428.86999500000002</v>
      </c>
      <c r="C98">
        <v>430.60000600000001</v>
      </c>
      <c r="D98">
        <v>428.79998799999998</v>
      </c>
      <c r="E98">
        <v>430.42999300000002</v>
      </c>
      <c r="F98">
        <v>427.55334499999998</v>
      </c>
      <c r="G98">
        <v>53441000</v>
      </c>
      <c r="H98" s="8">
        <f>(SPY[[#This Row],[Open]]-SPY[[#This Row],[Close]])/SPY[[#This Row],[Open]] * 100</f>
        <v>-0.36374612777469018</v>
      </c>
      <c r="I98">
        <f>IF(SPY[[#This Row],[Volume]] &gt; 71975900+ 1.5 * 42542200, SPY[[#This Row],[Gain]], 0)</f>
        <v>0</v>
      </c>
      <c r="J98" s="8">
        <f>IF(SPY[[#This Row],[Volume]] &lt; 79378480 - 1.5 * 42542200, SPY[[#This Row],[Gain]], 0)</f>
        <v>0</v>
      </c>
    </row>
    <row r="99" spans="1:10" x14ac:dyDescent="0.2">
      <c r="A99" s="1">
        <v>44379</v>
      </c>
      <c r="B99">
        <v>431.67001299999998</v>
      </c>
      <c r="C99">
        <v>434.10000600000001</v>
      </c>
      <c r="D99">
        <v>430.51998900000001</v>
      </c>
      <c r="E99">
        <v>433.72000100000002</v>
      </c>
      <c r="F99">
        <v>430.82135</v>
      </c>
      <c r="G99">
        <v>57697700</v>
      </c>
      <c r="H99" s="8">
        <f>(SPY[[#This Row],[Open]]-SPY[[#This Row],[Close]])/SPY[[#This Row],[Open]] * 100</f>
        <v>-0.47489701352038133</v>
      </c>
      <c r="I99">
        <f>IF(SPY[[#This Row],[Volume]] &gt; 71975900+ 1.5 * 42542200, SPY[[#This Row],[Gain]], 0)</f>
        <v>0</v>
      </c>
      <c r="J99" s="8">
        <f>IF(SPY[[#This Row],[Volume]] &lt; 79378480 - 1.5 * 42542200, SPY[[#This Row],[Gain]], 0)</f>
        <v>0</v>
      </c>
    </row>
    <row r="100" spans="1:10" x14ac:dyDescent="0.2">
      <c r="A100" s="1">
        <v>44383</v>
      </c>
      <c r="B100">
        <v>433.77999899999998</v>
      </c>
      <c r="C100">
        <v>434.01001000000002</v>
      </c>
      <c r="D100">
        <v>430.01001000000002</v>
      </c>
      <c r="E100">
        <v>432.92999300000002</v>
      </c>
      <c r="F100">
        <v>430.03662100000003</v>
      </c>
      <c r="G100">
        <v>68710400</v>
      </c>
      <c r="H100" s="8">
        <f>(SPY[[#This Row],[Open]]-SPY[[#This Row],[Close]])/SPY[[#This Row],[Open]] * 100</f>
        <v>0.19595324864204972</v>
      </c>
      <c r="I100">
        <f>IF(SPY[[#This Row],[Volume]] &gt; 71975900+ 1.5 * 42542200, SPY[[#This Row],[Gain]], 0)</f>
        <v>0</v>
      </c>
      <c r="J100" s="8">
        <f>IF(SPY[[#This Row],[Volume]] &lt; 79378480 - 1.5 * 42542200, SPY[[#This Row],[Gain]], 0)</f>
        <v>0</v>
      </c>
    </row>
    <row r="101" spans="1:10" x14ac:dyDescent="0.2">
      <c r="A101" s="1">
        <v>44384</v>
      </c>
      <c r="B101">
        <v>433.66000400000001</v>
      </c>
      <c r="C101">
        <v>434.76001000000002</v>
      </c>
      <c r="D101">
        <v>431.51001000000002</v>
      </c>
      <c r="E101">
        <v>434.459991</v>
      </c>
      <c r="F101">
        <v>431.55639600000001</v>
      </c>
      <c r="G101">
        <v>63549500</v>
      </c>
      <c r="H101" s="8">
        <f>(SPY[[#This Row],[Open]]-SPY[[#This Row],[Close]])/SPY[[#This Row],[Open]] * 100</f>
        <v>-0.18447331841097969</v>
      </c>
      <c r="I101">
        <f>IF(SPY[[#This Row],[Volume]] &gt; 71975900+ 1.5 * 42542200, SPY[[#This Row],[Gain]], 0)</f>
        <v>0</v>
      </c>
      <c r="J101" s="8">
        <f>IF(SPY[[#This Row],[Volume]] &lt; 79378480 - 1.5 * 42542200, SPY[[#This Row],[Gain]], 0)</f>
        <v>0</v>
      </c>
    </row>
    <row r="102" spans="1:10" x14ac:dyDescent="0.2">
      <c r="A102" s="1">
        <v>44385</v>
      </c>
      <c r="B102">
        <v>428.77999899999998</v>
      </c>
      <c r="C102">
        <v>431.73001099999999</v>
      </c>
      <c r="D102">
        <v>427.51998900000001</v>
      </c>
      <c r="E102">
        <v>430.92001299999998</v>
      </c>
      <c r="F102">
        <v>428.04007000000001</v>
      </c>
      <c r="G102">
        <v>97595200</v>
      </c>
      <c r="H102" s="8">
        <f>(SPY[[#This Row],[Open]]-SPY[[#This Row],[Close]])/SPY[[#This Row],[Open]] * 100</f>
        <v>-0.49909370889289267</v>
      </c>
      <c r="I102">
        <f>IF(SPY[[#This Row],[Volume]] &gt; 71975900+ 1.5 * 42542200, SPY[[#This Row],[Gain]], 0)</f>
        <v>0</v>
      </c>
      <c r="J102" s="8">
        <f>IF(SPY[[#This Row],[Volume]] &lt; 79378480 - 1.5 * 42542200, SPY[[#This Row],[Gain]], 0)</f>
        <v>0</v>
      </c>
    </row>
    <row r="103" spans="1:10" x14ac:dyDescent="0.2">
      <c r="A103" s="1">
        <v>44386</v>
      </c>
      <c r="B103">
        <v>432.52999899999998</v>
      </c>
      <c r="C103">
        <v>435.83999599999999</v>
      </c>
      <c r="D103">
        <v>430.709991</v>
      </c>
      <c r="E103">
        <v>435.51998900000001</v>
      </c>
      <c r="F103">
        <v>432.60931399999998</v>
      </c>
      <c r="G103">
        <v>76238600</v>
      </c>
      <c r="H103" s="8">
        <f>(SPY[[#This Row],[Open]]-SPY[[#This Row],[Close]])/SPY[[#This Row],[Open]] * 100</f>
        <v>-0.69127921922475355</v>
      </c>
      <c r="I103">
        <f>IF(SPY[[#This Row],[Volume]] &gt; 71975900+ 1.5 * 42542200, SPY[[#This Row],[Gain]], 0)</f>
        <v>0</v>
      </c>
      <c r="J103" s="8">
        <f>IF(SPY[[#This Row],[Volume]] &lt; 79378480 - 1.5 * 42542200, SPY[[#This Row],[Gain]], 0)</f>
        <v>0</v>
      </c>
    </row>
    <row r="104" spans="1:10" x14ac:dyDescent="0.2">
      <c r="A104" s="1">
        <v>44389</v>
      </c>
      <c r="B104">
        <v>435.42999300000002</v>
      </c>
      <c r="C104">
        <v>437.35000600000001</v>
      </c>
      <c r="D104">
        <v>434.97000100000002</v>
      </c>
      <c r="E104">
        <v>437.07998700000002</v>
      </c>
      <c r="F104">
        <v>434.158905</v>
      </c>
      <c r="G104">
        <v>52889600</v>
      </c>
      <c r="H104" s="8">
        <f>(SPY[[#This Row],[Open]]-SPY[[#This Row],[Close]])/SPY[[#This Row],[Open]] * 100</f>
        <v>-0.37893439278997765</v>
      </c>
      <c r="I104">
        <f>IF(SPY[[#This Row],[Volume]] &gt; 71975900+ 1.5 * 42542200, SPY[[#This Row],[Gain]], 0)</f>
        <v>0</v>
      </c>
      <c r="J104" s="8">
        <f>IF(SPY[[#This Row],[Volume]] &lt; 79378480 - 1.5 * 42542200, SPY[[#This Row],[Gain]], 0)</f>
        <v>0</v>
      </c>
    </row>
    <row r="105" spans="1:10" x14ac:dyDescent="0.2">
      <c r="A105" s="1">
        <v>44390</v>
      </c>
      <c r="B105">
        <v>436.23998999999998</v>
      </c>
      <c r="C105">
        <v>437.83999599999999</v>
      </c>
      <c r="D105">
        <v>435.30999800000001</v>
      </c>
      <c r="E105">
        <v>435.58999599999999</v>
      </c>
      <c r="F105">
        <v>432.67886399999998</v>
      </c>
      <c r="G105">
        <v>52911300</v>
      </c>
      <c r="H105" s="8">
        <f>(SPY[[#This Row],[Open]]-SPY[[#This Row],[Close]])/SPY[[#This Row],[Open]] * 100</f>
        <v>0.14899917818171424</v>
      </c>
      <c r="I105">
        <f>IF(SPY[[#This Row],[Volume]] &gt; 71975900+ 1.5 * 42542200, SPY[[#This Row],[Gain]], 0)</f>
        <v>0</v>
      </c>
      <c r="J105" s="8">
        <f>IF(SPY[[#This Row],[Volume]] &lt; 79378480 - 1.5 * 42542200, SPY[[#This Row],[Gain]], 0)</f>
        <v>0</v>
      </c>
    </row>
    <row r="106" spans="1:10" x14ac:dyDescent="0.2">
      <c r="A106" s="1">
        <v>44391</v>
      </c>
      <c r="B106">
        <v>437.39999399999999</v>
      </c>
      <c r="C106">
        <v>437.92001299999998</v>
      </c>
      <c r="D106">
        <v>434.91000400000001</v>
      </c>
      <c r="E106">
        <v>436.23998999999998</v>
      </c>
      <c r="F106">
        <v>433.324524</v>
      </c>
      <c r="G106">
        <v>64130400</v>
      </c>
      <c r="H106" s="8">
        <f>(SPY[[#This Row],[Open]]-SPY[[#This Row],[Close]])/SPY[[#This Row],[Open]] * 100</f>
        <v>0.26520439321268369</v>
      </c>
      <c r="I106">
        <f>IF(SPY[[#This Row],[Volume]] &gt; 71975900+ 1.5 * 42542200, SPY[[#This Row],[Gain]], 0)</f>
        <v>0</v>
      </c>
      <c r="J106" s="8">
        <f>IF(SPY[[#This Row],[Volume]] &lt; 79378480 - 1.5 * 42542200, SPY[[#This Row],[Gain]], 0)</f>
        <v>0</v>
      </c>
    </row>
    <row r="107" spans="1:10" x14ac:dyDescent="0.2">
      <c r="A107" s="1">
        <v>44392</v>
      </c>
      <c r="B107">
        <v>434.80999800000001</v>
      </c>
      <c r="C107">
        <v>435.52999899999998</v>
      </c>
      <c r="D107">
        <v>432.72000100000002</v>
      </c>
      <c r="E107">
        <v>434.75</v>
      </c>
      <c r="F107">
        <v>431.84448200000003</v>
      </c>
      <c r="G107">
        <v>55126400</v>
      </c>
      <c r="H107" s="8">
        <f>(SPY[[#This Row],[Open]]-SPY[[#This Row],[Close]])/SPY[[#This Row],[Open]] * 100</f>
        <v>1.3798670747218494E-2</v>
      </c>
      <c r="I107">
        <f>IF(SPY[[#This Row],[Volume]] &gt; 71975900+ 1.5 * 42542200, SPY[[#This Row],[Gain]], 0)</f>
        <v>0</v>
      </c>
      <c r="J107" s="8">
        <f>IF(SPY[[#This Row],[Volume]] &lt; 79378480 - 1.5 * 42542200, SPY[[#This Row],[Gain]], 0)</f>
        <v>0</v>
      </c>
    </row>
    <row r="108" spans="1:10" x14ac:dyDescent="0.2">
      <c r="A108" s="1">
        <v>44393</v>
      </c>
      <c r="B108">
        <v>436.01001000000002</v>
      </c>
      <c r="C108">
        <v>436.05999800000001</v>
      </c>
      <c r="D108">
        <v>430.92001299999998</v>
      </c>
      <c r="E108">
        <v>431.33999599999999</v>
      </c>
      <c r="F108">
        <v>428.457245</v>
      </c>
      <c r="G108">
        <v>75874700</v>
      </c>
      <c r="H108" s="8">
        <f>(SPY[[#This Row],[Open]]-SPY[[#This Row],[Close]])/SPY[[#This Row],[Open]] * 100</f>
        <v>1.0710795378298854</v>
      </c>
      <c r="I108">
        <f>IF(SPY[[#This Row],[Volume]] &gt; 71975900+ 1.5 * 42542200, SPY[[#This Row],[Gain]], 0)</f>
        <v>0</v>
      </c>
      <c r="J108" s="8">
        <f>IF(SPY[[#This Row],[Volume]] &lt; 79378480 - 1.5 * 42542200, SPY[[#This Row],[Gain]], 0)</f>
        <v>0</v>
      </c>
    </row>
    <row r="109" spans="1:10" x14ac:dyDescent="0.2">
      <c r="A109" s="1">
        <v>44396</v>
      </c>
      <c r="B109">
        <v>426.19000199999999</v>
      </c>
      <c r="C109">
        <v>431.41000400000001</v>
      </c>
      <c r="D109">
        <v>421.97000100000002</v>
      </c>
      <c r="E109">
        <v>424.97000100000002</v>
      </c>
      <c r="F109">
        <v>422.12985200000003</v>
      </c>
      <c r="G109">
        <v>147987000</v>
      </c>
      <c r="H109" s="8">
        <f>(SPY[[#This Row],[Open]]-SPY[[#This Row],[Close]])/SPY[[#This Row],[Open]] * 100</f>
        <v>0.28625753637457874</v>
      </c>
      <c r="I109">
        <f>IF(SPY[[#This Row],[Volume]] &gt; 71975900+ 1.5 * 42542200, SPY[[#This Row],[Gain]], 0)</f>
        <v>0.28625753637457874</v>
      </c>
      <c r="J109" s="8">
        <f>IF(SPY[[#This Row],[Volume]] &lt; 79378480 - 1.5 * 42542200, SPY[[#This Row],[Gain]], 0)</f>
        <v>0</v>
      </c>
    </row>
    <row r="110" spans="1:10" x14ac:dyDescent="0.2">
      <c r="A110" s="1">
        <v>44397</v>
      </c>
      <c r="B110">
        <v>425.67999300000002</v>
      </c>
      <c r="C110">
        <v>432.42001299999998</v>
      </c>
      <c r="D110">
        <v>424.82998700000002</v>
      </c>
      <c r="E110">
        <v>431.05999800000001</v>
      </c>
      <c r="F110">
        <v>428.17913800000002</v>
      </c>
      <c r="G110">
        <v>99608200</v>
      </c>
      <c r="H110" s="8">
        <f>(SPY[[#This Row],[Open]]-SPY[[#This Row],[Close]])/SPY[[#This Row],[Open]] * 100</f>
        <v>-1.2638613720330478</v>
      </c>
      <c r="I110">
        <f>IF(SPY[[#This Row],[Volume]] &gt; 71975900+ 1.5 * 42542200, SPY[[#This Row],[Gain]], 0)</f>
        <v>0</v>
      </c>
      <c r="J110" s="8">
        <f>IF(SPY[[#This Row],[Volume]] &lt; 79378480 - 1.5 * 42542200, SPY[[#This Row],[Gain]], 0)</f>
        <v>0</v>
      </c>
    </row>
    <row r="111" spans="1:10" x14ac:dyDescent="0.2">
      <c r="A111" s="1">
        <v>44398</v>
      </c>
      <c r="B111">
        <v>432.33999599999999</v>
      </c>
      <c r="C111">
        <v>434.70001200000002</v>
      </c>
      <c r="D111">
        <v>431.01001000000002</v>
      </c>
      <c r="E111">
        <v>434.54998799999998</v>
      </c>
      <c r="F111">
        <v>431.64581299999998</v>
      </c>
      <c r="G111">
        <v>64724400</v>
      </c>
      <c r="H111" s="8">
        <f>(SPY[[#This Row],[Open]]-SPY[[#This Row],[Close]])/SPY[[#This Row],[Open]] * 100</f>
        <v>-0.51116991729814421</v>
      </c>
      <c r="I111">
        <f>IF(SPY[[#This Row],[Volume]] &gt; 71975900+ 1.5 * 42542200, SPY[[#This Row],[Gain]], 0)</f>
        <v>0</v>
      </c>
      <c r="J111" s="8">
        <f>IF(SPY[[#This Row],[Volume]] &lt; 79378480 - 1.5 * 42542200, SPY[[#This Row],[Gain]], 0)</f>
        <v>0</v>
      </c>
    </row>
    <row r="112" spans="1:10" x14ac:dyDescent="0.2">
      <c r="A112" s="1">
        <v>44399</v>
      </c>
      <c r="B112">
        <v>434.73998999999998</v>
      </c>
      <c r="C112">
        <v>435.72000100000002</v>
      </c>
      <c r="D112">
        <v>433.69000199999999</v>
      </c>
      <c r="E112">
        <v>435.459991</v>
      </c>
      <c r="F112">
        <v>432.549713</v>
      </c>
      <c r="G112">
        <v>47878500</v>
      </c>
      <c r="H112" s="8">
        <f>(SPY[[#This Row],[Open]]-SPY[[#This Row],[Close]])/SPY[[#This Row],[Open]] * 100</f>
        <v>-0.1656164642226782</v>
      </c>
      <c r="I112">
        <f>IF(SPY[[#This Row],[Volume]] &gt; 71975900+ 1.5 * 42542200, SPY[[#This Row],[Gain]], 0)</f>
        <v>0</v>
      </c>
      <c r="J112" s="8">
        <f>IF(SPY[[#This Row],[Volume]] &lt; 79378480 - 1.5 * 42542200, SPY[[#This Row],[Gain]], 0)</f>
        <v>0</v>
      </c>
    </row>
    <row r="113" spans="1:10" x14ac:dyDescent="0.2">
      <c r="A113" s="1">
        <v>44400</v>
      </c>
      <c r="B113">
        <v>437.51998900000001</v>
      </c>
      <c r="C113">
        <v>440.29998799999998</v>
      </c>
      <c r="D113">
        <v>436.790009</v>
      </c>
      <c r="E113">
        <v>439.94000199999999</v>
      </c>
      <c r="F113">
        <v>436.99981700000001</v>
      </c>
      <c r="G113">
        <v>63766600</v>
      </c>
      <c r="H113" s="8">
        <f>(SPY[[#This Row],[Open]]-SPY[[#This Row],[Close]])/SPY[[#This Row],[Open]] * 100</f>
        <v>-0.55312055696728024</v>
      </c>
      <c r="I113">
        <f>IF(SPY[[#This Row],[Volume]] &gt; 71975900+ 1.5 * 42542200, SPY[[#This Row],[Gain]], 0)</f>
        <v>0</v>
      </c>
      <c r="J113" s="8">
        <f>IF(SPY[[#This Row],[Volume]] &lt; 79378480 - 1.5 * 42542200, SPY[[#This Row],[Gain]], 0)</f>
        <v>0</v>
      </c>
    </row>
    <row r="114" spans="1:10" x14ac:dyDescent="0.2">
      <c r="A114" s="1">
        <v>44403</v>
      </c>
      <c r="B114">
        <v>439.30999800000001</v>
      </c>
      <c r="C114">
        <v>441.02999899999998</v>
      </c>
      <c r="D114">
        <v>439.26001000000002</v>
      </c>
      <c r="E114">
        <v>441.01998900000001</v>
      </c>
      <c r="F114">
        <v>438.07257099999998</v>
      </c>
      <c r="G114">
        <v>43719200</v>
      </c>
      <c r="H114" s="8">
        <f>(SPY[[#This Row],[Open]]-SPY[[#This Row],[Close]])/SPY[[#This Row],[Open]] * 100</f>
        <v>-0.38924472645396113</v>
      </c>
      <c r="I114">
        <f>IF(SPY[[#This Row],[Volume]] &gt; 71975900+ 1.5 * 42542200, SPY[[#This Row],[Gain]], 0)</f>
        <v>0</v>
      </c>
      <c r="J114" s="8">
        <f>IF(SPY[[#This Row],[Volume]] &lt; 79378480 - 1.5 * 42542200, SPY[[#This Row],[Gain]], 0)</f>
        <v>0</v>
      </c>
    </row>
    <row r="115" spans="1:10" x14ac:dyDescent="0.2">
      <c r="A115" s="1">
        <v>44404</v>
      </c>
      <c r="B115">
        <v>439.91000400000001</v>
      </c>
      <c r="C115">
        <v>439.94000199999999</v>
      </c>
      <c r="D115">
        <v>435.98998999999998</v>
      </c>
      <c r="E115">
        <v>439.01001000000002</v>
      </c>
      <c r="F115">
        <v>436.07601899999997</v>
      </c>
      <c r="G115">
        <v>67397100</v>
      </c>
      <c r="H115" s="8">
        <f>(SPY[[#This Row],[Open]]-SPY[[#This Row],[Close]])/SPY[[#This Row],[Open]] * 100</f>
        <v>0.20458593617252505</v>
      </c>
      <c r="I115">
        <f>IF(SPY[[#This Row],[Volume]] &gt; 71975900+ 1.5 * 42542200, SPY[[#This Row],[Gain]], 0)</f>
        <v>0</v>
      </c>
      <c r="J115" s="8">
        <f>IF(SPY[[#This Row],[Volume]] &lt; 79378480 - 1.5 * 42542200, SPY[[#This Row],[Gain]], 0)</f>
        <v>0</v>
      </c>
    </row>
    <row r="116" spans="1:10" x14ac:dyDescent="0.2">
      <c r="A116" s="1">
        <v>44405</v>
      </c>
      <c r="B116">
        <v>439.67999300000002</v>
      </c>
      <c r="C116">
        <v>440.29998799999998</v>
      </c>
      <c r="D116">
        <v>437.30999800000001</v>
      </c>
      <c r="E116">
        <v>438.82998700000002</v>
      </c>
      <c r="F116">
        <v>435.89721700000001</v>
      </c>
      <c r="G116">
        <v>52472400</v>
      </c>
      <c r="H116" s="8">
        <f>(SPY[[#This Row],[Open]]-SPY[[#This Row],[Close]])/SPY[[#This Row],[Open]] * 100</f>
        <v>0.19332378400943243</v>
      </c>
      <c r="I116">
        <f>IF(SPY[[#This Row],[Volume]] &gt; 71975900+ 1.5 * 42542200, SPY[[#This Row],[Gain]], 0)</f>
        <v>0</v>
      </c>
      <c r="J116" s="8">
        <f>IF(SPY[[#This Row],[Volume]] &lt; 79378480 - 1.5 * 42542200, SPY[[#This Row],[Gain]], 0)</f>
        <v>0</v>
      </c>
    </row>
    <row r="117" spans="1:10" x14ac:dyDescent="0.2">
      <c r="A117" s="1">
        <v>44406</v>
      </c>
      <c r="B117">
        <v>439.82000699999998</v>
      </c>
      <c r="C117">
        <v>441.79998799999998</v>
      </c>
      <c r="D117">
        <v>439.80999800000001</v>
      </c>
      <c r="E117">
        <v>440.64999399999999</v>
      </c>
      <c r="F117">
        <v>437.70504799999998</v>
      </c>
      <c r="G117">
        <v>47435300</v>
      </c>
      <c r="H117" s="8">
        <f>(SPY[[#This Row],[Open]]-SPY[[#This Row],[Close]])/SPY[[#This Row],[Open]] * 100</f>
        <v>-0.18871060588201413</v>
      </c>
      <c r="I117">
        <f>IF(SPY[[#This Row],[Volume]] &gt; 71975900+ 1.5 * 42542200, SPY[[#This Row],[Gain]], 0)</f>
        <v>0</v>
      </c>
      <c r="J117" s="8">
        <f>IF(SPY[[#This Row],[Volume]] &lt; 79378480 - 1.5 * 42542200, SPY[[#This Row],[Gain]], 0)</f>
        <v>0</v>
      </c>
    </row>
    <row r="118" spans="1:10" x14ac:dyDescent="0.2">
      <c r="A118" s="1">
        <v>44407</v>
      </c>
      <c r="B118">
        <v>437.91000400000001</v>
      </c>
      <c r="C118">
        <v>440.05999800000001</v>
      </c>
      <c r="D118">
        <v>437.76998900000001</v>
      </c>
      <c r="E118">
        <v>438.51001000000002</v>
      </c>
      <c r="F118">
        <v>435.57934599999999</v>
      </c>
      <c r="G118">
        <v>68890600</v>
      </c>
      <c r="H118" s="8">
        <f>(SPY[[#This Row],[Open]]-SPY[[#This Row],[Close]])/SPY[[#This Row],[Open]] * 100</f>
        <v>-0.13701582391801387</v>
      </c>
      <c r="I118">
        <f>IF(SPY[[#This Row],[Volume]] &gt; 71975900+ 1.5 * 42542200, SPY[[#This Row],[Gain]], 0)</f>
        <v>0</v>
      </c>
      <c r="J118" s="8">
        <f>IF(SPY[[#This Row],[Volume]] &lt; 79378480 - 1.5 * 42542200, SPY[[#This Row],[Gain]], 0)</f>
        <v>0</v>
      </c>
    </row>
    <row r="119" spans="1:10" x14ac:dyDescent="0.2">
      <c r="A119" s="1">
        <v>44410</v>
      </c>
      <c r="B119">
        <v>440.33999599999999</v>
      </c>
      <c r="C119">
        <v>440.92999300000002</v>
      </c>
      <c r="D119">
        <v>437.209991</v>
      </c>
      <c r="E119">
        <v>437.58999599999999</v>
      </c>
      <c r="F119">
        <v>434.66549700000002</v>
      </c>
      <c r="G119">
        <v>58783300</v>
      </c>
      <c r="H119" s="8">
        <f>(SPY[[#This Row],[Open]]-SPY[[#This Row],[Close]])/SPY[[#This Row],[Open]] * 100</f>
        <v>0.6245174240315885</v>
      </c>
      <c r="I119">
        <f>IF(SPY[[#This Row],[Volume]] &gt; 71975900+ 1.5 * 42542200, SPY[[#This Row],[Gain]], 0)</f>
        <v>0</v>
      </c>
      <c r="J119" s="8">
        <f>IF(SPY[[#This Row],[Volume]] &lt; 79378480 - 1.5 * 42542200, SPY[[#This Row],[Gain]], 0)</f>
        <v>0</v>
      </c>
    </row>
    <row r="120" spans="1:10" x14ac:dyDescent="0.2">
      <c r="A120" s="1">
        <v>44411</v>
      </c>
      <c r="B120">
        <v>438.44000199999999</v>
      </c>
      <c r="C120">
        <v>441.27999899999998</v>
      </c>
      <c r="D120">
        <v>436.10000600000001</v>
      </c>
      <c r="E120">
        <v>441.14999399999999</v>
      </c>
      <c r="F120">
        <v>438.20169099999998</v>
      </c>
      <c r="G120">
        <v>58053900</v>
      </c>
      <c r="H120" s="8">
        <f>(SPY[[#This Row],[Open]]-SPY[[#This Row],[Close]])/SPY[[#This Row],[Open]] * 100</f>
        <v>-0.61809871080148382</v>
      </c>
      <c r="I120">
        <f>IF(SPY[[#This Row],[Volume]] &gt; 71975900+ 1.5 * 42542200, SPY[[#This Row],[Gain]], 0)</f>
        <v>0</v>
      </c>
      <c r="J120" s="8">
        <f>IF(SPY[[#This Row],[Volume]] &lt; 79378480 - 1.5 * 42542200, SPY[[#This Row],[Gain]], 0)</f>
        <v>0</v>
      </c>
    </row>
    <row r="121" spans="1:10" x14ac:dyDescent="0.2">
      <c r="A121" s="1">
        <v>44412</v>
      </c>
      <c r="B121">
        <v>439.77999899999998</v>
      </c>
      <c r="C121">
        <v>441.11999500000002</v>
      </c>
      <c r="D121">
        <v>438.73001099999999</v>
      </c>
      <c r="E121">
        <v>438.98001099999999</v>
      </c>
      <c r="F121">
        <v>436.04623400000003</v>
      </c>
      <c r="G121">
        <v>46732200</v>
      </c>
      <c r="H121" s="8">
        <f>(SPY[[#This Row],[Open]]-SPY[[#This Row],[Close]])/SPY[[#This Row],[Open]] * 100</f>
        <v>0.18190640816295625</v>
      </c>
      <c r="I121">
        <f>IF(SPY[[#This Row],[Volume]] &gt; 71975900+ 1.5 * 42542200, SPY[[#This Row],[Gain]], 0)</f>
        <v>0</v>
      </c>
      <c r="J121" s="8">
        <f>IF(SPY[[#This Row],[Volume]] &lt; 79378480 - 1.5 * 42542200, SPY[[#This Row],[Gain]], 0)</f>
        <v>0</v>
      </c>
    </row>
    <row r="122" spans="1:10" x14ac:dyDescent="0.2">
      <c r="A122" s="1">
        <v>44413</v>
      </c>
      <c r="B122">
        <v>440.22000100000002</v>
      </c>
      <c r="C122">
        <v>441.85000600000001</v>
      </c>
      <c r="D122">
        <v>439.88000499999998</v>
      </c>
      <c r="E122">
        <v>441.76001000000002</v>
      </c>
      <c r="F122">
        <v>438.80764799999997</v>
      </c>
      <c r="G122">
        <v>38969700</v>
      </c>
      <c r="H122" s="8">
        <f>(SPY[[#This Row],[Open]]-SPY[[#This Row],[Close]])/SPY[[#This Row],[Open]] * 100</f>
        <v>-0.34982713109393632</v>
      </c>
      <c r="I122">
        <f>IF(SPY[[#This Row],[Volume]] &gt; 71975900+ 1.5 * 42542200, SPY[[#This Row],[Gain]], 0)</f>
        <v>0</v>
      </c>
      <c r="J122" s="8">
        <f>IF(SPY[[#This Row],[Volume]] &lt; 79378480 - 1.5 * 42542200, SPY[[#This Row],[Gain]], 0)</f>
        <v>0</v>
      </c>
    </row>
    <row r="123" spans="1:10" x14ac:dyDescent="0.2">
      <c r="A123" s="1">
        <v>44414</v>
      </c>
      <c r="B123">
        <v>442.10000600000001</v>
      </c>
      <c r="C123">
        <v>442.94000199999999</v>
      </c>
      <c r="D123">
        <v>441.79998799999998</v>
      </c>
      <c r="E123">
        <v>442.48998999999998</v>
      </c>
      <c r="F123">
        <v>439.53274499999998</v>
      </c>
      <c r="G123">
        <v>46864100</v>
      </c>
      <c r="H123" s="8">
        <f>(SPY[[#This Row],[Open]]-SPY[[#This Row],[Close]])/SPY[[#This Row],[Open]] * 100</f>
        <v>-8.8211715608972396E-2</v>
      </c>
      <c r="I123">
        <f>IF(SPY[[#This Row],[Volume]] &gt; 71975900+ 1.5 * 42542200, SPY[[#This Row],[Gain]], 0)</f>
        <v>0</v>
      </c>
      <c r="J123" s="8">
        <f>IF(SPY[[#This Row],[Volume]] &lt; 79378480 - 1.5 * 42542200, SPY[[#This Row],[Gain]], 0)</f>
        <v>0</v>
      </c>
    </row>
    <row r="124" spans="1:10" x14ac:dyDescent="0.2">
      <c r="A124" s="1">
        <v>44417</v>
      </c>
      <c r="B124">
        <v>442.459991</v>
      </c>
      <c r="C124">
        <v>442.79998799999998</v>
      </c>
      <c r="D124">
        <v>441.30999800000001</v>
      </c>
      <c r="E124">
        <v>442.13000499999998</v>
      </c>
      <c r="F124">
        <v>439.17514</v>
      </c>
      <c r="G124">
        <v>41222600</v>
      </c>
      <c r="H124" s="8">
        <f>(SPY[[#This Row],[Open]]-SPY[[#This Row],[Close]])/SPY[[#This Row],[Open]] * 100</f>
        <v>7.4579850542920489E-2</v>
      </c>
      <c r="I124">
        <f>IF(SPY[[#This Row],[Volume]] &gt; 71975900+ 1.5 * 42542200, SPY[[#This Row],[Gain]], 0)</f>
        <v>0</v>
      </c>
      <c r="J124" s="8">
        <f>IF(SPY[[#This Row],[Volume]] &lt; 79378480 - 1.5 * 42542200, SPY[[#This Row],[Gain]], 0)</f>
        <v>0</v>
      </c>
    </row>
    <row r="125" spans="1:10" x14ac:dyDescent="0.2">
      <c r="A125" s="1">
        <v>44418</v>
      </c>
      <c r="B125">
        <v>442.60998499999999</v>
      </c>
      <c r="C125">
        <v>443.44000199999999</v>
      </c>
      <c r="D125">
        <v>441.88000499999998</v>
      </c>
      <c r="E125">
        <v>442.67999300000002</v>
      </c>
      <c r="F125">
        <v>439.72146600000002</v>
      </c>
      <c r="G125">
        <v>43339300</v>
      </c>
      <c r="H125" s="8">
        <f>(SPY[[#This Row],[Open]]-SPY[[#This Row],[Close]])/SPY[[#This Row],[Open]] * 100</f>
        <v>-1.5817085554459379E-2</v>
      </c>
      <c r="I125">
        <f>IF(SPY[[#This Row],[Volume]] &gt; 71975900+ 1.5 * 42542200, SPY[[#This Row],[Gain]], 0)</f>
        <v>0</v>
      </c>
      <c r="J125" s="8">
        <f>IF(SPY[[#This Row],[Volume]] &lt; 79378480 - 1.5 * 42542200, SPY[[#This Row],[Gain]], 0)</f>
        <v>0</v>
      </c>
    </row>
    <row r="126" spans="1:10" x14ac:dyDescent="0.2">
      <c r="A126" s="1">
        <v>44419</v>
      </c>
      <c r="B126">
        <v>443.82000699999998</v>
      </c>
      <c r="C126">
        <v>443.88000499999998</v>
      </c>
      <c r="D126">
        <v>442.61999500000002</v>
      </c>
      <c r="E126">
        <v>443.77999899999998</v>
      </c>
      <c r="F126">
        <v>440.81414799999999</v>
      </c>
      <c r="G126">
        <v>44034300</v>
      </c>
      <c r="H126" s="8">
        <f>(SPY[[#This Row],[Open]]-SPY[[#This Row],[Close]])/SPY[[#This Row],[Open]] * 100</f>
        <v>9.0144651816023852E-3</v>
      </c>
      <c r="I126">
        <f>IF(SPY[[#This Row],[Volume]] &gt; 71975900+ 1.5 * 42542200, SPY[[#This Row],[Gain]], 0)</f>
        <v>0</v>
      </c>
      <c r="J126" s="8">
        <f>IF(SPY[[#This Row],[Volume]] &lt; 79378480 - 1.5 * 42542200, SPY[[#This Row],[Gain]], 0)</f>
        <v>0</v>
      </c>
    </row>
    <row r="127" spans="1:10" x14ac:dyDescent="0.2">
      <c r="A127" s="1">
        <v>44420</v>
      </c>
      <c r="B127">
        <v>443.61999500000002</v>
      </c>
      <c r="C127">
        <v>445.26001000000002</v>
      </c>
      <c r="D127">
        <v>442.66000400000001</v>
      </c>
      <c r="E127">
        <v>445.10998499999999</v>
      </c>
      <c r="F127">
        <v>442.13525399999997</v>
      </c>
      <c r="G127">
        <v>38909400</v>
      </c>
      <c r="H127" s="8">
        <f>(SPY[[#This Row],[Open]]-SPY[[#This Row],[Close]])/SPY[[#This Row],[Open]] * 100</f>
        <v>-0.33587079410159987</v>
      </c>
      <c r="I127">
        <f>IF(SPY[[#This Row],[Volume]] &gt; 71975900+ 1.5 * 42542200, SPY[[#This Row],[Gain]], 0)</f>
        <v>0</v>
      </c>
      <c r="J127" s="8">
        <f>IF(SPY[[#This Row],[Volume]] &lt; 79378480 - 1.5 * 42542200, SPY[[#This Row],[Gain]], 0)</f>
        <v>0</v>
      </c>
    </row>
    <row r="128" spans="1:10" x14ac:dyDescent="0.2">
      <c r="A128" s="1">
        <v>44421</v>
      </c>
      <c r="B128">
        <v>445.58999599999999</v>
      </c>
      <c r="C128">
        <v>445.94000199999999</v>
      </c>
      <c r="D128">
        <v>445.07000699999998</v>
      </c>
      <c r="E128">
        <v>445.92001299999998</v>
      </c>
      <c r="F128">
        <v>442.93984999999998</v>
      </c>
      <c r="G128">
        <v>39388300</v>
      </c>
      <c r="H128" s="8">
        <f>(SPY[[#This Row],[Open]]-SPY[[#This Row],[Close]])/SPY[[#This Row],[Open]] * 100</f>
        <v>-7.406292846843851E-2</v>
      </c>
      <c r="I128">
        <f>IF(SPY[[#This Row],[Volume]] &gt; 71975900+ 1.5 * 42542200, SPY[[#This Row],[Gain]], 0)</f>
        <v>0</v>
      </c>
      <c r="J128" s="8">
        <f>IF(SPY[[#This Row],[Volume]] &lt; 79378480 - 1.5 * 42542200, SPY[[#This Row],[Gain]], 0)</f>
        <v>0</v>
      </c>
    </row>
    <row r="129" spans="1:10" x14ac:dyDescent="0.2">
      <c r="A129" s="1">
        <v>44424</v>
      </c>
      <c r="B129">
        <v>444.52999899999998</v>
      </c>
      <c r="C129">
        <v>447.10998499999999</v>
      </c>
      <c r="D129">
        <v>442.86999500000002</v>
      </c>
      <c r="E129">
        <v>446.97000100000002</v>
      </c>
      <c r="F129">
        <v>443.98281900000001</v>
      </c>
      <c r="G129">
        <v>73740000</v>
      </c>
      <c r="H129" s="8">
        <f>(SPY[[#This Row],[Open]]-SPY[[#This Row],[Close]])/SPY[[#This Row],[Open]] * 100</f>
        <v>-0.54889478898814426</v>
      </c>
      <c r="I129">
        <f>IF(SPY[[#This Row],[Volume]] &gt; 71975900+ 1.5 * 42542200, SPY[[#This Row],[Gain]], 0)</f>
        <v>0</v>
      </c>
      <c r="J129" s="8">
        <f>IF(SPY[[#This Row],[Volume]] &lt; 79378480 - 1.5 * 42542200, SPY[[#This Row],[Gain]], 0)</f>
        <v>0</v>
      </c>
    </row>
    <row r="130" spans="1:10" x14ac:dyDescent="0.2">
      <c r="A130" s="1">
        <v>44425</v>
      </c>
      <c r="B130">
        <v>444.23998999999998</v>
      </c>
      <c r="C130">
        <v>444.959991</v>
      </c>
      <c r="D130">
        <v>440.85000600000001</v>
      </c>
      <c r="E130">
        <v>444.040009</v>
      </c>
      <c r="F130">
        <v>441.07241800000003</v>
      </c>
      <c r="G130">
        <v>92673900</v>
      </c>
      <c r="H130" s="8">
        <f>(SPY[[#This Row],[Open]]-SPY[[#This Row],[Close]])/SPY[[#This Row],[Open]] * 100</f>
        <v>4.5016433572308466E-2</v>
      </c>
      <c r="I130">
        <f>IF(SPY[[#This Row],[Volume]] &gt; 71975900+ 1.5 * 42542200, SPY[[#This Row],[Gain]], 0)</f>
        <v>0</v>
      </c>
      <c r="J130" s="8">
        <f>IF(SPY[[#This Row],[Volume]] &lt; 79378480 - 1.5 * 42542200, SPY[[#This Row],[Gain]], 0)</f>
        <v>0</v>
      </c>
    </row>
    <row r="131" spans="1:10" x14ac:dyDescent="0.2">
      <c r="A131" s="1">
        <v>44426</v>
      </c>
      <c r="B131">
        <v>442.959991</v>
      </c>
      <c r="C131">
        <v>444.63000499999998</v>
      </c>
      <c r="D131">
        <v>438.92001299999998</v>
      </c>
      <c r="E131">
        <v>439.17999300000002</v>
      </c>
      <c r="F131">
        <v>436.24487299999998</v>
      </c>
      <c r="G131">
        <v>89351900</v>
      </c>
      <c r="H131" s="8">
        <f>(SPY[[#This Row],[Open]]-SPY[[#This Row],[Close]])/SPY[[#This Row],[Open]] * 100</f>
        <v>0.85334975546357583</v>
      </c>
      <c r="I131">
        <f>IF(SPY[[#This Row],[Volume]] &gt; 71975900+ 1.5 * 42542200, SPY[[#This Row],[Gain]], 0)</f>
        <v>0</v>
      </c>
      <c r="J131" s="8">
        <f>IF(SPY[[#This Row],[Volume]] &lt; 79378480 - 1.5 * 42542200, SPY[[#This Row],[Gain]], 0)</f>
        <v>0</v>
      </c>
    </row>
    <row r="132" spans="1:10" x14ac:dyDescent="0.2">
      <c r="A132" s="1">
        <v>44427</v>
      </c>
      <c r="B132">
        <v>436.26998900000001</v>
      </c>
      <c r="C132">
        <v>441.14001500000001</v>
      </c>
      <c r="D132">
        <v>436.11999500000002</v>
      </c>
      <c r="E132">
        <v>439.85998499999999</v>
      </c>
      <c r="F132">
        <v>436.92031900000001</v>
      </c>
      <c r="G132">
        <v>92812200</v>
      </c>
      <c r="H132" s="8">
        <f>(SPY[[#This Row],[Open]]-SPY[[#This Row],[Close]])/SPY[[#This Row],[Open]] * 100</f>
        <v>-0.82288401460499838</v>
      </c>
      <c r="I132">
        <f>IF(SPY[[#This Row],[Volume]] &gt; 71975900+ 1.5 * 42542200, SPY[[#This Row],[Gain]], 0)</f>
        <v>0</v>
      </c>
      <c r="J132" s="8">
        <f>IF(SPY[[#This Row],[Volume]] &lt; 79378480 - 1.5 * 42542200, SPY[[#This Row],[Gain]], 0)</f>
        <v>0</v>
      </c>
    </row>
    <row r="133" spans="1:10" x14ac:dyDescent="0.2">
      <c r="A133" s="1">
        <v>44428</v>
      </c>
      <c r="B133">
        <v>440.23001099999999</v>
      </c>
      <c r="C133">
        <v>443.709991</v>
      </c>
      <c r="D133">
        <v>439.709991</v>
      </c>
      <c r="E133">
        <v>443.35998499999999</v>
      </c>
      <c r="F133">
        <v>440.39694200000002</v>
      </c>
      <c r="G133">
        <v>71975900</v>
      </c>
      <c r="H133" s="8">
        <f>(SPY[[#This Row],[Open]]-SPY[[#This Row],[Close]])/SPY[[#This Row],[Open]] * 100</f>
        <v>-0.71098605769519074</v>
      </c>
      <c r="I133">
        <f>IF(SPY[[#This Row],[Volume]] &gt; 71975900+ 1.5 * 42542200, SPY[[#This Row],[Gain]], 0)</f>
        <v>0</v>
      </c>
      <c r="J133" s="8">
        <f>IF(SPY[[#This Row],[Volume]] &lt; 79378480 - 1.5 * 42542200, SPY[[#This Row],[Gain]], 0)</f>
        <v>0</v>
      </c>
    </row>
    <row r="134" spans="1:10" x14ac:dyDescent="0.2">
      <c r="A134" s="1">
        <v>44431</v>
      </c>
      <c r="B134">
        <v>445.16000400000001</v>
      </c>
      <c r="C134">
        <v>448.23001099999999</v>
      </c>
      <c r="D134">
        <v>443.44000199999999</v>
      </c>
      <c r="E134">
        <v>447.26001000000002</v>
      </c>
      <c r="F134">
        <v>444.27090500000003</v>
      </c>
      <c r="G134">
        <v>54973000</v>
      </c>
      <c r="H134" s="8">
        <f>(SPY[[#This Row],[Open]]-SPY[[#This Row],[Close]])/SPY[[#This Row],[Open]] * 100</f>
        <v>-0.47174184138968772</v>
      </c>
      <c r="I134">
        <f>IF(SPY[[#This Row],[Volume]] &gt; 71975900+ 1.5 * 42542200, SPY[[#This Row],[Gain]], 0)</f>
        <v>0</v>
      </c>
      <c r="J134" s="8">
        <f>IF(SPY[[#This Row],[Volume]] &lt; 79378480 - 1.5 * 42542200, SPY[[#This Row],[Gain]], 0)</f>
        <v>0</v>
      </c>
    </row>
    <row r="135" spans="1:10" x14ac:dyDescent="0.2">
      <c r="A135" s="1">
        <v>44432</v>
      </c>
      <c r="B135">
        <v>447.97000100000002</v>
      </c>
      <c r="C135">
        <v>448.540009</v>
      </c>
      <c r="D135">
        <v>447.42001299999998</v>
      </c>
      <c r="E135">
        <v>447.97000100000002</v>
      </c>
      <c r="F135">
        <v>444.976135</v>
      </c>
      <c r="G135">
        <v>38744700</v>
      </c>
      <c r="H135" s="8">
        <f>(SPY[[#This Row],[Open]]-SPY[[#This Row],[Close]])/SPY[[#This Row],[Open]] * 100</f>
        <v>0</v>
      </c>
      <c r="I135">
        <f>IF(SPY[[#This Row],[Volume]] &gt; 71975900+ 1.5 * 42542200, SPY[[#This Row],[Gain]], 0)</f>
        <v>0</v>
      </c>
      <c r="J135" s="8">
        <f>IF(SPY[[#This Row],[Volume]] &lt; 79378480 - 1.5 * 42542200, SPY[[#This Row],[Gain]], 0)</f>
        <v>0</v>
      </c>
    </row>
    <row r="136" spans="1:10" x14ac:dyDescent="0.2">
      <c r="A136" s="1">
        <v>44433</v>
      </c>
      <c r="B136">
        <v>448.17001299999998</v>
      </c>
      <c r="C136">
        <v>449.459991</v>
      </c>
      <c r="D136">
        <v>447.76998900000001</v>
      </c>
      <c r="E136">
        <v>448.91000400000001</v>
      </c>
      <c r="F136">
        <v>445.909851</v>
      </c>
      <c r="G136">
        <v>40529700</v>
      </c>
      <c r="H136" s="8">
        <f>(SPY[[#This Row],[Open]]-SPY[[#This Row],[Close]])/SPY[[#This Row],[Open]] * 100</f>
        <v>-0.16511390287953778</v>
      </c>
      <c r="I136">
        <f>IF(SPY[[#This Row],[Volume]] &gt; 71975900+ 1.5 * 42542200, SPY[[#This Row],[Gain]], 0)</f>
        <v>0</v>
      </c>
      <c r="J136" s="8">
        <f>IF(SPY[[#This Row],[Volume]] &lt; 79378480 - 1.5 * 42542200, SPY[[#This Row],[Gain]], 0)</f>
        <v>0</v>
      </c>
    </row>
    <row r="137" spans="1:10" x14ac:dyDescent="0.2">
      <c r="A137" s="1">
        <v>44434</v>
      </c>
      <c r="B137">
        <v>448.60998499999999</v>
      </c>
      <c r="C137">
        <v>448.85998499999999</v>
      </c>
      <c r="D137">
        <v>446.16000400000001</v>
      </c>
      <c r="E137">
        <v>446.26001000000002</v>
      </c>
      <c r="F137">
        <v>443.277557</v>
      </c>
      <c r="G137">
        <v>57829600</v>
      </c>
      <c r="H137" s="8">
        <f>(SPY[[#This Row],[Open]]-SPY[[#This Row],[Close]])/SPY[[#This Row],[Open]] * 100</f>
        <v>0.52383475147125225</v>
      </c>
      <c r="I137">
        <f>IF(SPY[[#This Row],[Volume]] &gt; 71975900+ 1.5 * 42542200, SPY[[#This Row],[Gain]], 0)</f>
        <v>0</v>
      </c>
      <c r="J137" s="8">
        <f>IF(SPY[[#This Row],[Volume]] &lt; 79378480 - 1.5 * 42542200, SPY[[#This Row],[Gain]], 0)</f>
        <v>0</v>
      </c>
    </row>
    <row r="138" spans="1:10" x14ac:dyDescent="0.2">
      <c r="A138" s="1">
        <v>44435</v>
      </c>
      <c r="B138">
        <v>447.11999500000002</v>
      </c>
      <c r="C138">
        <v>450.64999399999999</v>
      </c>
      <c r="D138">
        <v>447.05999800000001</v>
      </c>
      <c r="E138">
        <v>450.25</v>
      </c>
      <c r="F138">
        <v>447.240906</v>
      </c>
      <c r="G138">
        <v>77201900</v>
      </c>
      <c r="H138" s="8">
        <f>(SPY[[#This Row],[Open]]-SPY[[#This Row],[Close]])/SPY[[#This Row],[Open]] * 100</f>
        <v>-0.70003691067315887</v>
      </c>
      <c r="I138">
        <f>IF(SPY[[#This Row],[Volume]] &gt; 71975900+ 1.5 * 42542200, SPY[[#This Row],[Gain]], 0)</f>
        <v>0</v>
      </c>
      <c r="J138" s="8">
        <f>IF(SPY[[#This Row],[Volume]] &lt; 79378480 - 1.5 * 42542200, SPY[[#This Row],[Gain]], 0)</f>
        <v>0</v>
      </c>
    </row>
    <row r="139" spans="1:10" x14ac:dyDescent="0.2">
      <c r="A139" s="1">
        <v>44438</v>
      </c>
      <c r="B139">
        <v>450.97000100000002</v>
      </c>
      <c r="C139">
        <v>453.07000699999998</v>
      </c>
      <c r="D139">
        <v>450.709991</v>
      </c>
      <c r="E139">
        <v>452.23001099999999</v>
      </c>
      <c r="F139">
        <v>449.20764200000002</v>
      </c>
      <c r="G139">
        <v>48357400</v>
      </c>
      <c r="H139" s="8">
        <f>(SPY[[#This Row],[Open]]-SPY[[#This Row],[Close]])/SPY[[#This Row],[Open]] * 100</f>
        <v>-0.27939995946647583</v>
      </c>
      <c r="I139">
        <f>IF(SPY[[#This Row],[Volume]] &gt; 71975900+ 1.5 * 42542200, SPY[[#This Row],[Gain]], 0)</f>
        <v>0</v>
      </c>
      <c r="J139" s="8">
        <f>IF(SPY[[#This Row],[Volume]] &lt; 79378480 - 1.5 * 42542200, SPY[[#This Row],[Gain]], 0)</f>
        <v>0</v>
      </c>
    </row>
    <row r="140" spans="1:10" x14ac:dyDescent="0.2">
      <c r="A140" s="1">
        <v>44439</v>
      </c>
      <c r="B140">
        <v>452.13000499999998</v>
      </c>
      <c r="C140">
        <v>452.48998999999998</v>
      </c>
      <c r="D140">
        <v>450.92001299999998</v>
      </c>
      <c r="E140">
        <v>451.55999800000001</v>
      </c>
      <c r="F140">
        <v>448.542145</v>
      </c>
      <c r="G140">
        <v>59300200</v>
      </c>
      <c r="H140" s="8">
        <f>(SPY[[#This Row],[Open]]-SPY[[#This Row],[Close]])/SPY[[#This Row],[Open]] * 100</f>
        <v>0.12607148247105951</v>
      </c>
      <c r="I140">
        <f>IF(SPY[[#This Row],[Volume]] &gt; 71975900+ 1.5 * 42542200, SPY[[#This Row],[Gain]], 0)</f>
        <v>0</v>
      </c>
      <c r="J140" s="8">
        <f>IF(SPY[[#This Row],[Volume]] &lt; 79378480 - 1.5 * 42542200, SPY[[#This Row],[Gain]], 0)</f>
        <v>0</v>
      </c>
    </row>
    <row r="141" spans="1:10" x14ac:dyDescent="0.2">
      <c r="A141" s="1">
        <v>44440</v>
      </c>
      <c r="B141">
        <v>452.55999800000001</v>
      </c>
      <c r="C141">
        <v>453.10998499999999</v>
      </c>
      <c r="D141">
        <v>451.54998799999998</v>
      </c>
      <c r="E141">
        <v>451.79998799999998</v>
      </c>
      <c r="F141">
        <v>448.78051799999997</v>
      </c>
      <c r="G141">
        <v>48721400</v>
      </c>
      <c r="H141" s="8">
        <f>(SPY[[#This Row],[Open]]-SPY[[#This Row],[Close]])/SPY[[#This Row],[Open]] * 100</f>
        <v>0.16793574406901568</v>
      </c>
      <c r="I141">
        <f>IF(SPY[[#This Row],[Volume]] &gt; 71975900+ 1.5 * 42542200, SPY[[#This Row],[Gain]], 0)</f>
        <v>0</v>
      </c>
      <c r="J141" s="8">
        <f>IF(SPY[[#This Row],[Volume]] &lt; 79378480 - 1.5 * 42542200, SPY[[#This Row],[Gain]], 0)</f>
        <v>0</v>
      </c>
    </row>
    <row r="142" spans="1:10" x14ac:dyDescent="0.2">
      <c r="A142" s="1">
        <v>44441</v>
      </c>
      <c r="B142">
        <v>453.32000699999998</v>
      </c>
      <c r="C142">
        <v>454.04998799999998</v>
      </c>
      <c r="D142">
        <v>451.91000400000001</v>
      </c>
      <c r="E142">
        <v>453.19000199999999</v>
      </c>
      <c r="F142">
        <v>450.16125499999998</v>
      </c>
      <c r="G142">
        <v>42501000</v>
      </c>
      <c r="H142" s="8">
        <f>(SPY[[#This Row],[Open]]-SPY[[#This Row],[Close]])/SPY[[#This Row],[Open]] * 100</f>
        <v>2.8678416569419763E-2</v>
      </c>
      <c r="I142">
        <f>IF(SPY[[#This Row],[Volume]] &gt; 71975900+ 1.5 * 42542200, SPY[[#This Row],[Gain]], 0)</f>
        <v>0</v>
      </c>
      <c r="J142" s="8">
        <f>IF(SPY[[#This Row],[Volume]] &lt; 79378480 - 1.5 * 42542200, SPY[[#This Row],[Gain]], 0)</f>
        <v>0</v>
      </c>
    </row>
    <row r="143" spans="1:10" x14ac:dyDescent="0.2">
      <c r="A143" s="1">
        <v>44442</v>
      </c>
      <c r="B143">
        <v>451.98001099999999</v>
      </c>
      <c r="C143">
        <v>453.63000499999998</v>
      </c>
      <c r="D143">
        <v>451.54998799999998</v>
      </c>
      <c r="E143">
        <v>453.07998700000002</v>
      </c>
      <c r="F143">
        <v>450.05197099999998</v>
      </c>
      <c r="G143">
        <v>47170500</v>
      </c>
      <c r="H143" s="8">
        <f>(SPY[[#This Row],[Open]]-SPY[[#This Row],[Close]])/SPY[[#This Row],[Open]] * 100</f>
        <v>-0.24336828470939315</v>
      </c>
      <c r="I143">
        <f>IF(SPY[[#This Row],[Volume]] &gt; 71975900+ 1.5 * 42542200, SPY[[#This Row],[Gain]], 0)</f>
        <v>0</v>
      </c>
      <c r="J143" s="8">
        <f>IF(SPY[[#This Row],[Volume]] &lt; 79378480 - 1.5 * 42542200, SPY[[#This Row],[Gain]], 0)</f>
        <v>0</v>
      </c>
    </row>
    <row r="144" spans="1:10" x14ac:dyDescent="0.2">
      <c r="A144" s="1">
        <v>44446</v>
      </c>
      <c r="B144">
        <v>452.709991</v>
      </c>
      <c r="C144">
        <v>452.80999800000001</v>
      </c>
      <c r="D144">
        <v>450.73998999999998</v>
      </c>
      <c r="E144">
        <v>451.459991</v>
      </c>
      <c r="F144">
        <v>448.44278000000003</v>
      </c>
      <c r="G144">
        <v>51671500</v>
      </c>
      <c r="H144" s="8">
        <f>(SPY[[#This Row],[Open]]-SPY[[#This Row],[Close]])/SPY[[#This Row],[Open]] * 100</f>
        <v>0.27611495766613198</v>
      </c>
      <c r="I144">
        <f>IF(SPY[[#This Row],[Volume]] &gt; 71975900+ 1.5 * 42542200, SPY[[#This Row],[Gain]], 0)</f>
        <v>0</v>
      </c>
      <c r="J144" s="8">
        <f>IF(SPY[[#This Row],[Volume]] &lt; 79378480 - 1.5 * 42542200, SPY[[#This Row],[Gain]], 0)</f>
        <v>0</v>
      </c>
    </row>
    <row r="145" spans="1:10" x14ac:dyDescent="0.2">
      <c r="A145" s="1">
        <v>44447</v>
      </c>
      <c r="B145">
        <v>450.89001500000001</v>
      </c>
      <c r="C145">
        <v>451.67001299999998</v>
      </c>
      <c r="D145">
        <v>448.85998499999999</v>
      </c>
      <c r="E145">
        <v>450.91000400000001</v>
      </c>
      <c r="F145">
        <v>447.89648399999999</v>
      </c>
      <c r="G145">
        <v>56181900</v>
      </c>
      <c r="H145" s="8">
        <f>(SPY[[#This Row],[Open]]-SPY[[#This Row],[Close]])/SPY[[#This Row],[Open]] * 100</f>
        <v>-4.4332319046829155E-3</v>
      </c>
      <c r="I145">
        <f>IF(SPY[[#This Row],[Volume]] &gt; 71975900+ 1.5 * 42542200, SPY[[#This Row],[Gain]], 0)</f>
        <v>0</v>
      </c>
      <c r="J145" s="8">
        <f>IF(SPY[[#This Row],[Volume]] &lt; 79378480 - 1.5 * 42542200, SPY[[#This Row],[Gain]], 0)</f>
        <v>0</v>
      </c>
    </row>
    <row r="146" spans="1:10" x14ac:dyDescent="0.2">
      <c r="A146" s="1">
        <v>44448</v>
      </c>
      <c r="B146">
        <v>450.70001200000002</v>
      </c>
      <c r="C146">
        <v>452.57000699999998</v>
      </c>
      <c r="D146">
        <v>448.72000100000002</v>
      </c>
      <c r="E146">
        <v>448.98001099999999</v>
      </c>
      <c r="F146">
        <v>445.979401</v>
      </c>
      <c r="G146">
        <v>57970400</v>
      </c>
      <c r="H146" s="8">
        <f>(SPY[[#This Row],[Open]]-SPY[[#This Row],[Close]])/SPY[[#This Row],[Open]] * 100</f>
        <v>0.38162878948404039</v>
      </c>
      <c r="I146">
        <f>IF(SPY[[#This Row],[Volume]] &gt; 71975900+ 1.5 * 42542200, SPY[[#This Row],[Gain]], 0)</f>
        <v>0</v>
      </c>
      <c r="J146" s="8">
        <f>IF(SPY[[#This Row],[Volume]] &lt; 79378480 - 1.5 * 42542200, SPY[[#This Row],[Gain]], 0)</f>
        <v>0</v>
      </c>
    </row>
    <row r="147" spans="1:10" x14ac:dyDescent="0.2">
      <c r="A147" s="1">
        <v>44449</v>
      </c>
      <c r="B147">
        <v>451.040009</v>
      </c>
      <c r="C147">
        <v>451.48998999999998</v>
      </c>
      <c r="D147">
        <v>445.30999800000001</v>
      </c>
      <c r="E147">
        <v>445.44000199999999</v>
      </c>
      <c r="F147">
        <v>442.46304300000003</v>
      </c>
      <c r="G147">
        <v>89848000</v>
      </c>
      <c r="H147" s="8">
        <f>(SPY[[#This Row],[Open]]-SPY[[#This Row],[Close]])/SPY[[#This Row],[Open]] * 100</f>
        <v>1.2415765537996886</v>
      </c>
      <c r="I147">
        <f>IF(SPY[[#This Row],[Volume]] &gt; 71975900+ 1.5 * 42542200, SPY[[#This Row],[Gain]], 0)</f>
        <v>0</v>
      </c>
      <c r="J147" s="8">
        <f>IF(SPY[[#This Row],[Volume]] &lt; 79378480 - 1.5 * 42542200, SPY[[#This Row],[Gain]], 0)</f>
        <v>0</v>
      </c>
    </row>
    <row r="148" spans="1:10" x14ac:dyDescent="0.2">
      <c r="A148" s="1">
        <v>44452</v>
      </c>
      <c r="B148">
        <v>448.64001500000001</v>
      </c>
      <c r="C148">
        <v>448.92001299999998</v>
      </c>
      <c r="D148">
        <v>444.10998499999999</v>
      </c>
      <c r="E148">
        <v>446.57998700000002</v>
      </c>
      <c r="F148">
        <v>443.59542800000003</v>
      </c>
      <c r="G148">
        <v>83738600</v>
      </c>
      <c r="H148" s="8">
        <f>(SPY[[#This Row],[Open]]-SPY[[#This Row],[Close]])/SPY[[#This Row],[Open]] * 100</f>
        <v>0.45917170362077231</v>
      </c>
      <c r="I148">
        <f>IF(SPY[[#This Row],[Volume]] &gt; 71975900+ 1.5 * 42542200, SPY[[#This Row],[Gain]], 0)</f>
        <v>0</v>
      </c>
      <c r="J148" s="8">
        <f>IF(SPY[[#This Row],[Volume]] &lt; 79378480 - 1.5 * 42542200, SPY[[#This Row],[Gain]], 0)</f>
        <v>0</v>
      </c>
    </row>
    <row r="149" spans="1:10" x14ac:dyDescent="0.2">
      <c r="A149" s="1">
        <v>44453</v>
      </c>
      <c r="B149">
        <v>448.11999500000002</v>
      </c>
      <c r="C149">
        <v>448.33999599999999</v>
      </c>
      <c r="D149">
        <v>443.22000100000002</v>
      </c>
      <c r="E149">
        <v>444.17001299999998</v>
      </c>
      <c r="F149">
        <v>441.20153800000003</v>
      </c>
      <c r="G149">
        <v>78197100</v>
      </c>
      <c r="H149" s="8">
        <f>(SPY[[#This Row],[Open]]-SPY[[#This Row],[Close]])/SPY[[#This Row],[Open]] * 100</f>
        <v>0.8814563161815695</v>
      </c>
      <c r="I149">
        <f>IF(SPY[[#This Row],[Volume]] &gt; 71975900+ 1.5 * 42542200, SPY[[#This Row],[Gain]], 0)</f>
        <v>0</v>
      </c>
      <c r="J149" s="8">
        <f>IF(SPY[[#This Row],[Volume]] &lt; 79378480 - 1.5 * 42542200, SPY[[#This Row],[Gain]], 0)</f>
        <v>0</v>
      </c>
    </row>
    <row r="150" spans="1:10" x14ac:dyDescent="0.2">
      <c r="A150" s="1">
        <v>44454</v>
      </c>
      <c r="B150">
        <v>444.61999500000002</v>
      </c>
      <c r="C150">
        <v>448.41000400000001</v>
      </c>
      <c r="D150">
        <v>443.44000199999999</v>
      </c>
      <c r="E150">
        <v>447.88000499999998</v>
      </c>
      <c r="F150">
        <v>444.88674900000001</v>
      </c>
      <c r="G150">
        <v>78792200</v>
      </c>
      <c r="H150" s="8">
        <f>(SPY[[#This Row],[Open]]-SPY[[#This Row],[Close]])/SPY[[#This Row],[Open]] * 100</f>
        <v>-0.73321263925612823</v>
      </c>
      <c r="I150">
        <f>IF(SPY[[#This Row],[Volume]] &gt; 71975900+ 1.5 * 42542200, SPY[[#This Row],[Gain]], 0)</f>
        <v>0</v>
      </c>
      <c r="J150" s="8">
        <f>IF(SPY[[#This Row],[Volume]] &lt; 79378480 - 1.5 * 42542200, SPY[[#This Row],[Gain]], 0)</f>
        <v>0</v>
      </c>
    </row>
    <row r="151" spans="1:10" x14ac:dyDescent="0.2">
      <c r="A151" s="1">
        <v>44455</v>
      </c>
      <c r="B151">
        <v>447.32000699999998</v>
      </c>
      <c r="C151">
        <v>448.35998499999999</v>
      </c>
      <c r="D151">
        <v>444.01998900000001</v>
      </c>
      <c r="E151">
        <v>447.17001299999998</v>
      </c>
      <c r="F151">
        <v>444.181488</v>
      </c>
      <c r="G151">
        <v>77786700</v>
      </c>
      <c r="H151" s="8">
        <f>(SPY[[#This Row],[Open]]-SPY[[#This Row],[Close]])/SPY[[#This Row],[Open]] * 100</f>
        <v>3.3531699376905449E-2</v>
      </c>
      <c r="I151">
        <f>IF(SPY[[#This Row],[Volume]] &gt; 71975900+ 1.5 * 42542200, SPY[[#This Row],[Gain]], 0)</f>
        <v>0</v>
      </c>
      <c r="J151" s="8">
        <f>IF(SPY[[#This Row],[Volume]] &lt; 79378480 - 1.5 * 42542200, SPY[[#This Row],[Gain]], 0)</f>
        <v>0</v>
      </c>
    </row>
    <row r="152" spans="1:10" x14ac:dyDescent="0.2">
      <c r="A152" s="1">
        <v>44456</v>
      </c>
      <c r="B152">
        <v>444.92001299999998</v>
      </c>
      <c r="C152">
        <v>445.36999500000002</v>
      </c>
      <c r="D152">
        <v>441.01998900000001</v>
      </c>
      <c r="E152">
        <v>441.39999399999999</v>
      </c>
      <c r="F152">
        <v>439.85467499999999</v>
      </c>
      <c r="G152">
        <v>118425000</v>
      </c>
      <c r="H152" s="8">
        <f>(SPY[[#This Row],[Open]]-SPY[[#This Row],[Close]])/SPY[[#This Row],[Open]] * 100</f>
        <v>0.79115771310561189</v>
      </c>
      <c r="I152">
        <f>IF(SPY[[#This Row],[Volume]] &gt; 71975900+ 1.5 * 42542200, SPY[[#This Row],[Gain]], 0)</f>
        <v>0</v>
      </c>
      <c r="J152" s="8">
        <f>IF(SPY[[#This Row],[Volume]] &lt; 79378480 - 1.5 * 42542200, SPY[[#This Row],[Gain]], 0)</f>
        <v>0</v>
      </c>
    </row>
    <row r="153" spans="1:10" x14ac:dyDescent="0.2">
      <c r="A153" s="1">
        <v>44459</v>
      </c>
      <c r="B153">
        <v>434.88000499999998</v>
      </c>
      <c r="C153">
        <v>436.55999800000001</v>
      </c>
      <c r="D153">
        <v>428.85998499999999</v>
      </c>
      <c r="E153">
        <v>434.040009</v>
      </c>
      <c r="F153">
        <v>432.52044699999999</v>
      </c>
      <c r="G153">
        <v>166445500</v>
      </c>
      <c r="H153" s="8">
        <f>(SPY[[#This Row],[Open]]-SPY[[#This Row],[Close]])/SPY[[#This Row],[Open]] * 100</f>
        <v>0.19315581087706829</v>
      </c>
      <c r="I153">
        <f>IF(SPY[[#This Row],[Volume]] &gt; 71975900+ 1.5 * 42542200, SPY[[#This Row],[Gain]], 0)</f>
        <v>0.19315581087706829</v>
      </c>
      <c r="J153" s="8">
        <f>IF(SPY[[#This Row],[Volume]] &lt; 79378480 - 1.5 * 42542200, SPY[[#This Row],[Gain]], 0)</f>
        <v>0</v>
      </c>
    </row>
    <row r="154" spans="1:10" x14ac:dyDescent="0.2">
      <c r="A154" s="1">
        <v>44460</v>
      </c>
      <c r="B154">
        <v>436.52999899999998</v>
      </c>
      <c r="C154">
        <v>437.91000400000001</v>
      </c>
      <c r="D154">
        <v>433.07000699999998</v>
      </c>
      <c r="E154">
        <v>433.63000499999998</v>
      </c>
      <c r="F154">
        <v>432.11190800000003</v>
      </c>
      <c r="G154">
        <v>92526100</v>
      </c>
      <c r="H154" s="8">
        <f>(SPY[[#This Row],[Open]]-SPY[[#This Row],[Close]])/SPY[[#This Row],[Open]] * 100</f>
        <v>0.66432868454476879</v>
      </c>
      <c r="I154">
        <f>IF(SPY[[#This Row],[Volume]] &gt; 71975900+ 1.5 * 42542200, SPY[[#This Row],[Gain]], 0)</f>
        <v>0</v>
      </c>
      <c r="J154" s="8">
        <f>IF(SPY[[#This Row],[Volume]] &lt; 79378480 - 1.5 * 42542200, SPY[[#This Row],[Gain]], 0)</f>
        <v>0</v>
      </c>
    </row>
    <row r="155" spans="1:10" x14ac:dyDescent="0.2">
      <c r="A155" s="1">
        <v>44461</v>
      </c>
      <c r="B155">
        <v>436.04998799999998</v>
      </c>
      <c r="C155">
        <v>440.02999899999998</v>
      </c>
      <c r="D155">
        <v>433.75</v>
      </c>
      <c r="E155">
        <v>437.85998499999999</v>
      </c>
      <c r="F155">
        <v>436.32705700000002</v>
      </c>
      <c r="G155">
        <v>102350100</v>
      </c>
      <c r="H155" s="8">
        <f>(SPY[[#This Row],[Open]]-SPY[[#This Row],[Close]])/SPY[[#This Row],[Open]] * 100</f>
        <v>-0.41508933604190573</v>
      </c>
      <c r="I155">
        <f>IF(SPY[[#This Row],[Volume]] &gt; 71975900+ 1.5 * 42542200, SPY[[#This Row],[Gain]], 0)</f>
        <v>0</v>
      </c>
      <c r="J155" s="8">
        <f>IF(SPY[[#This Row],[Volume]] &lt; 79378480 - 1.5 * 42542200, SPY[[#This Row],[Gain]], 0)</f>
        <v>0</v>
      </c>
    </row>
    <row r="156" spans="1:10" x14ac:dyDescent="0.2">
      <c r="A156" s="1">
        <v>44462</v>
      </c>
      <c r="B156">
        <v>439.85000600000001</v>
      </c>
      <c r="C156">
        <v>444.89001500000001</v>
      </c>
      <c r="D156">
        <v>439.60000600000001</v>
      </c>
      <c r="E156">
        <v>443.17999300000002</v>
      </c>
      <c r="F156">
        <v>441.62844799999999</v>
      </c>
      <c r="G156">
        <v>76396000</v>
      </c>
      <c r="H156" s="8">
        <f>(SPY[[#This Row],[Open]]-SPY[[#This Row],[Close]])/SPY[[#This Row],[Open]] * 100</f>
        <v>-0.75707331012290968</v>
      </c>
      <c r="I156">
        <f>IF(SPY[[#This Row],[Volume]] &gt; 71975900+ 1.5 * 42542200, SPY[[#This Row],[Gain]], 0)</f>
        <v>0</v>
      </c>
      <c r="J156" s="8">
        <f>IF(SPY[[#This Row],[Volume]] &lt; 79378480 - 1.5 * 42542200, SPY[[#This Row],[Gain]], 0)</f>
        <v>0</v>
      </c>
    </row>
    <row r="157" spans="1:10" x14ac:dyDescent="0.2">
      <c r="A157" s="1">
        <v>44463</v>
      </c>
      <c r="B157">
        <v>441.44000199999999</v>
      </c>
      <c r="C157">
        <v>444.67001299999998</v>
      </c>
      <c r="D157">
        <v>441.209991</v>
      </c>
      <c r="E157">
        <v>443.91000400000001</v>
      </c>
      <c r="F157">
        <v>442.35589599999997</v>
      </c>
      <c r="G157">
        <v>62094800</v>
      </c>
      <c r="H157" s="8">
        <f>(SPY[[#This Row],[Open]]-SPY[[#This Row],[Close]])/SPY[[#This Row],[Open]] * 100</f>
        <v>-0.55953288981727178</v>
      </c>
      <c r="I157">
        <f>IF(SPY[[#This Row],[Volume]] &gt; 71975900+ 1.5 * 42542200, SPY[[#This Row],[Gain]], 0)</f>
        <v>0</v>
      </c>
      <c r="J157" s="8">
        <f>IF(SPY[[#This Row],[Volume]] &lt; 79378480 - 1.5 * 42542200, SPY[[#This Row],[Gain]], 0)</f>
        <v>0</v>
      </c>
    </row>
    <row r="158" spans="1:10" x14ac:dyDescent="0.2">
      <c r="A158" s="1">
        <v>44466</v>
      </c>
      <c r="B158">
        <v>442.80999800000001</v>
      </c>
      <c r="C158">
        <v>444.04998799999998</v>
      </c>
      <c r="D158">
        <v>441.89999399999999</v>
      </c>
      <c r="E158">
        <v>442.64001500000001</v>
      </c>
      <c r="F158">
        <v>441.09036300000002</v>
      </c>
      <c r="G158">
        <v>61371100</v>
      </c>
      <c r="H158" s="8">
        <f>(SPY[[#This Row],[Open]]-SPY[[#This Row],[Close]])/SPY[[#This Row],[Open]] * 100</f>
        <v>3.8387344632629994E-2</v>
      </c>
      <c r="I158">
        <f>IF(SPY[[#This Row],[Volume]] &gt; 71975900+ 1.5 * 42542200, SPY[[#This Row],[Gain]], 0)</f>
        <v>0</v>
      </c>
      <c r="J158" s="8">
        <f>IF(SPY[[#This Row],[Volume]] &lt; 79378480 - 1.5 * 42542200, SPY[[#This Row],[Gain]], 0)</f>
        <v>0</v>
      </c>
    </row>
    <row r="159" spans="1:10" x14ac:dyDescent="0.2">
      <c r="A159" s="1">
        <v>44467</v>
      </c>
      <c r="B159">
        <v>439.69000199999999</v>
      </c>
      <c r="C159">
        <v>440.040009</v>
      </c>
      <c r="D159">
        <v>432.94000199999999</v>
      </c>
      <c r="E159">
        <v>433.72000100000002</v>
      </c>
      <c r="F159">
        <v>432.20156900000001</v>
      </c>
      <c r="G159">
        <v>130436300</v>
      </c>
      <c r="H159" s="8">
        <f>(SPY[[#This Row],[Open]]-SPY[[#This Row],[Close]])/SPY[[#This Row],[Open]] * 100</f>
        <v>1.3577750171358156</v>
      </c>
      <c r="I159">
        <f>IF(SPY[[#This Row],[Volume]] &gt; 71975900+ 1.5 * 42542200, SPY[[#This Row],[Gain]], 0)</f>
        <v>0</v>
      </c>
      <c r="J159" s="8">
        <f>IF(SPY[[#This Row],[Volume]] &lt; 79378480 - 1.5 * 42542200, SPY[[#This Row],[Gain]], 0)</f>
        <v>0</v>
      </c>
    </row>
    <row r="160" spans="1:10" x14ac:dyDescent="0.2">
      <c r="A160" s="1">
        <v>44468</v>
      </c>
      <c r="B160">
        <v>435.19000199999999</v>
      </c>
      <c r="C160">
        <v>437.040009</v>
      </c>
      <c r="D160">
        <v>433.85000600000001</v>
      </c>
      <c r="E160">
        <v>434.45001200000002</v>
      </c>
      <c r="F160">
        <v>432.92901599999999</v>
      </c>
      <c r="G160">
        <v>82329200</v>
      </c>
      <c r="H160" s="8">
        <f>(SPY[[#This Row],[Open]]-SPY[[#This Row],[Close]])/SPY[[#This Row],[Open]] * 100</f>
        <v>0.17003837326207175</v>
      </c>
      <c r="I160">
        <f>IF(SPY[[#This Row],[Volume]] &gt; 71975900+ 1.5 * 42542200, SPY[[#This Row],[Gain]], 0)</f>
        <v>0</v>
      </c>
      <c r="J160" s="8">
        <f>IF(SPY[[#This Row],[Volume]] &lt; 79378480 - 1.5 * 42542200, SPY[[#This Row],[Gain]], 0)</f>
        <v>0</v>
      </c>
    </row>
    <row r="161" spans="1:10" x14ac:dyDescent="0.2">
      <c r="A161" s="1">
        <v>44469</v>
      </c>
      <c r="B161">
        <v>436.01998900000001</v>
      </c>
      <c r="C161">
        <v>436.76998900000001</v>
      </c>
      <c r="D161">
        <v>428.77999899999998</v>
      </c>
      <c r="E161">
        <v>429.14001500000001</v>
      </c>
      <c r="F161">
        <v>427.63763399999999</v>
      </c>
      <c r="G161">
        <v>140181200</v>
      </c>
      <c r="H161" s="8">
        <f>(SPY[[#This Row],[Open]]-SPY[[#This Row],[Close]])/SPY[[#This Row],[Open]] * 100</f>
        <v>1.5779033469954067</v>
      </c>
      <c r="I161">
        <f>IF(SPY[[#This Row],[Volume]] &gt; 71975900+ 1.5 * 42542200, SPY[[#This Row],[Gain]], 0)</f>
        <v>1.5779033469954067</v>
      </c>
      <c r="J161" s="8">
        <f>IF(SPY[[#This Row],[Volume]] &lt; 79378480 - 1.5 * 42542200, SPY[[#This Row],[Gain]], 0)</f>
        <v>0</v>
      </c>
    </row>
    <row r="162" spans="1:10" x14ac:dyDescent="0.2">
      <c r="A162" s="1">
        <v>44470</v>
      </c>
      <c r="B162">
        <v>430.98001099999999</v>
      </c>
      <c r="C162">
        <v>436.02999899999998</v>
      </c>
      <c r="D162">
        <v>427.23001099999999</v>
      </c>
      <c r="E162">
        <v>434.23998999999998</v>
      </c>
      <c r="F162">
        <v>432.71975700000002</v>
      </c>
      <c r="G162">
        <v>129240100</v>
      </c>
      <c r="H162" s="8">
        <f>(SPY[[#This Row],[Open]]-SPY[[#This Row],[Close]])/SPY[[#This Row],[Open]] * 100</f>
        <v>-0.75641071901127854</v>
      </c>
      <c r="I162">
        <f>IF(SPY[[#This Row],[Volume]] &gt; 71975900+ 1.5 * 42542200, SPY[[#This Row],[Gain]], 0)</f>
        <v>0</v>
      </c>
      <c r="J162" s="8">
        <f>IF(SPY[[#This Row],[Volume]] &lt; 79378480 - 1.5 * 42542200, SPY[[#This Row],[Gain]], 0)</f>
        <v>0</v>
      </c>
    </row>
    <row r="163" spans="1:10" x14ac:dyDescent="0.2">
      <c r="A163" s="1">
        <v>44473</v>
      </c>
      <c r="B163">
        <v>433</v>
      </c>
      <c r="C163">
        <v>433.959991</v>
      </c>
      <c r="D163">
        <v>426.35998499999999</v>
      </c>
      <c r="E163">
        <v>428.64001500000001</v>
      </c>
      <c r="F163">
        <v>427.13937399999998</v>
      </c>
      <c r="G163">
        <v>128570000</v>
      </c>
      <c r="H163" s="8">
        <f>(SPY[[#This Row],[Open]]-SPY[[#This Row],[Close]])/SPY[[#This Row],[Open]] * 100</f>
        <v>1.0069249422632782</v>
      </c>
      <c r="I163">
        <f>IF(SPY[[#This Row],[Volume]] &gt; 71975900+ 1.5 * 42542200, SPY[[#This Row],[Gain]], 0)</f>
        <v>0</v>
      </c>
      <c r="J163" s="8">
        <f>IF(SPY[[#This Row],[Volume]] &lt; 79378480 - 1.5 * 42542200, SPY[[#This Row],[Gain]], 0)</f>
        <v>0</v>
      </c>
    </row>
    <row r="164" spans="1:10" x14ac:dyDescent="0.2">
      <c r="A164" s="1">
        <v>44474</v>
      </c>
      <c r="B164">
        <v>430.23998999999998</v>
      </c>
      <c r="C164">
        <v>435.48998999999998</v>
      </c>
      <c r="D164">
        <v>429.39001500000001</v>
      </c>
      <c r="E164">
        <v>433.10000600000001</v>
      </c>
      <c r="F164">
        <v>431.58373999999998</v>
      </c>
      <c r="G164">
        <v>90682500</v>
      </c>
      <c r="H164" s="8">
        <f>(SPY[[#This Row],[Open]]-SPY[[#This Row],[Close]])/SPY[[#This Row],[Open]] * 100</f>
        <v>-0.66474899276564925</v>
      </c>
      <c r="I164">
        <f>IF(SPY[[#This Row],[Volume]] &gt; 71975900+ 1.5 * 42542200, SPY[[#This Row],[Gain]], 0)</f>
        <v>0</v>
      </c>
      <c r="J164" s="8">
        <f>IF(SPY[[#This Row],[Volume]] &lt; 79378480 - 1.5 * 42542200, SPY[[#This Row],[Gain]], 0)</f>
        <v>0</v>
      </c>
    </row>
    <row r="165" spans="1:10" x14ac:dyDescent="0.2">
      <c r="A165" s="1">
        <v>44475</v>
      </c>
      <c r="B165">
        <v>429.26998900000001</v>
      </c>
      <c r="C165">
        <v>435.11999500000002</v>
      </c>
      <c r="D165">
        <v>427.540009</v>
      </c>
      <c r="E165">
        <v>434.89999399999999</v>
      </c>
      <c r="F165">
        <v>433.37744099999998</v>
      </c>
      <c r="G165">
        <v>113032200</v>
      </c>
      <c r="H165" s="8">
        <f>(SPY[[#This Row],[Open]]-SPY[[#This Row],[Close]])/SPY[[#This Row],[Open]] * 100</f>
        <v>-1.3115300729769821</v>
      </c>
      <c r="I165">
        <f>IF(SPY[[#This Row],[Volume]] &gt; 71975900+ 1.5 * 42542200, SPY[[#This Row],[Gain]], 0)</f>
        <v>0</v>
      </c>
      <c r="J165" s="8">
        <f>IF(SPY[[#This Row],[Volume]] &lt; 79378480 - 1.5 * 42542200, SPY[[#This Row],[Gain]], 0)</f>
        <v>0</v>
      </c>
    </row>
    <row r="166" spans="1:10" x14ac:dyDescent="0.2">
      <c r="A166" s="1">
        <v>44476</v>
      </c>
      <c r="B166">
        <v>438.39001500000001</v>
      </c>
      <c r="C166">
        <v>441.67999300000002</v>
      </c>
      <c r="D166">
        <v>438.20001200000002</v>
      </c>
      <c r="E166">
        <v>438.66000400000001</v>
      </c>
      <c r="F166">
        <v>437.12426799999997</v>
      </c>
      <c r="G166">
        <v>72437500</v>
      </c>
      <c r="H166" s="8">
        <f>(SPY[[#This Row],[Open]]-SPY[[#This Row],[Close]])/SPY[[#This Row],[Open]] * 100</f>
        <v>-6.1586484810793318E-2</v>
      </c>
      <c r="I166">
        <f>IF(SPY[[#This Row],[Volume]] &gt; 71975900+ 1.5 * 42542200, SPY[[#This Row],[Gain]], 0)</f>
        <v>0</v>
      </c>
      <c r="J166" s="8">
        <f>IF(SPY[[#This Row],[Volume]] &lt; 79378480 - 1.5 * 42542200, SPY[[#This Row],[Gain]], 0)</f>
        <v>0</v>
      </c>
    </row>
    <row r="167" spans="1:10" x14ac:dyDescent="0.2">
      <c r="A167" s="1">
        <v>44477</v>
      </c>
      <c r="B167">
        <v>439.48001099999999</v>
      </c>
      <c r="C167">
        <v>439.89001500000001</v>
      </c>
      <c r="D167">
        <v>437.19000199999999</v>
      </c>
      <c r="E167">
        <v>437.85998499999999</v>
      </c>
      <c r="F167">
        <v>436.32705700000002</v>
      </c>
      <c r="G167">
        <v>74492900</v>
      </c>
      <c r="H167" s="8">
        <f>(SPY[[#This Row],[Open]]-SPY[[#This Row],[Close]])/SPY[[#This Row],[Open]] * 100</f>
        <v>0.36862336385078404</v>
      </c>
      <c r="I167">
        <f>IF(SPY[[#This Row],[Volume]] &gt; 71975900+ 1.5 * 42542200, SPY[[#This Row],[Gain]], 0)</f>
        <v>0</v>
      </c>
      <c r="J167" s="8">
        <f>IF(SPY[[#This Row],[Volume]] &lt; 79378480 - 1.5 * 42542200, SPY[[#This Row],[Gain]], 0)</f>
        <v>0</v>
      </c>
    </row>
    <row r="168" spans="1:10" x14ac:dyDescent="0.2">
      <c r="A168" s="1">
        <v>44480</v>
      </c>
      <c r="B168">
        <v>437.16000400000001</v>
      </c>
      <c r="C168">
        <v>440.26001000000002</v>
      </c>
      <c r="D168">
        <v>434.61999500000002</v>
      </c>
      <c r="E168">
        <v>434.69000199999999</v>
      </c>
      <c r="F168">
        <v>433.168182</v>
      </c>
      <c r="G168">
        <v>65233300</v>
      </c>
      <c r="H168" s="8">
        <f>(SPY[[#This Row],[Open]]-SPY[[#This Row],[Close]])/SPY[[#This Row],[Open]] * 100</f>
        <v>0.56501097479174289</v>
      </c>
      <c r="I168">
        <f>IF(SPY[[#This Row],[Volume]] &gt; 71975900+ 1.5 * 42542200, SPY[[#This Row],[Gain]], 0)</f>
        <v>0</v>
      </c>
      <c r="J168" s="8">
        <f>IF(SPY[[#This Row],[Volume]] &lt; 79378480 - 1.5 * 42542200, SPY[[#This Row],[Gain]], 0)</f>
        <v>0</v>
      </c>
    </row>
    <row r="169" spans="1:10" x14ac:dyDescent="0.2">
      <c r="A169" s="1">
        <v>44481</v>
      </c>
      <c r="B169">
        <v>435.67001299999998</v>
      </c>
      <c r="C169">
        <v>436.10000600000001</v>
      </c>
      <c r="D169">
        <v>432.77999899999998</v>
      </c>
      <c r="E169">
        <v>433.61999500000002</v>
      </c>
      <c r="F169">
        <v>432.10192899999998</v>
      </c>
      <c r="G169">
        <v>71181200</v>
      </c>
      <c r="H169" s="8">
        <f>(SPY[[#This Row],[Open]]-SPY[[#This Row],[Close]])/SPY[[#This Row],[Open]] * 100</f>
        <v>0.4705437461448525</v>
      </c>
      <c r="I169">
        <f>IF(SPY[[#This Row],[Volume]] &gt; 71975900+ 1.5 * 42542200, SPY[[#This Row],[Gain]], 0)</f>
        <v>0</v>
      </c>
      <c r="J169" s="8">
        <f>IF(SPY[[#This Row],[Volume]] &lt; 79378480 - 1.5 * 42542200, SPY[[#This Row],[Gain]], 0)</f>
        <v>0</v>
      </c>
    </row>
    <row r="170" spans="1:10" x14ac:dyDescent="0.2">
      <c r="A170" s="1">
        <v>44482</v>
      </c>
      <c r="B170">
        <v>434.709991</v>
      </c>
      <c r="C170">
        <v>436.04998799999998</v>
      </c>
      <c r="D170">
        <v>431.540009</v>
      </c>
      <c r="E170">
        <v>435.17999300000002</v>
      </c>
      <c r="F170">
        <v>433.65646400000003</v>
      </c>
      <c r="G170">
        <v>72974000</v>
      </c>
      <c r="H170" s="8">
        <f>(SPY[[#This Row],[Open]]-SPY[[#This Row],[Close]])/SPY[[#This Row],[Open]] * 100</f>
        <v>-0.10811851803056954</v>
      </c>
      <c r="I170">
        <f>IF(SPY[[#This Row],[Volume]] &gt; 71975900+ 1.5 * 42542200, SPY[[#This Row],[Gain]], 0)</f>
        <v>0</v>
      </c>
      <c r="J170" s="8">
        <f>IF(SPY[[#This Row],[Volume]] &lt; 79378480 - 1.5 * 42542200, SPY[[#This Row],[Gain]], 0)</f>
        <v>0</v>
      </c>
    </row>
    <row r="171" spans="1:10" x14ac:dyDescent="0.2">
      <c r="A171" s="1">
        <v>44483</v>
      </c>
      <c r="B171">
        <v>439.07998700000002</v>
      </c>
      <c r="C171">
        <v>442.66000400000001</v>
      </c>
      <c r="D171">
        <v>438.57998700000002</v>
      </c>
      <c r="E171">
        <v>442.5</v>
      </c>
      <c r="F171">
        <v>440.95083599999998</v>
      </c>
      <c r="G171">
        <v>70236800</v>
      </c>
      <c r="H171" s="8">
        <f>(SPY[[#This Row],[Open]]-SPY[[#This Row],[Close]])/SPY[[#This Row],[Open]] * 100</f>
        <v>-0.77890432296108791</v>
      </c>
      <c r="I171">
        <f>IF(SPY[[#This Row],[Volume]] &gt; 71975900+ 1.5 * 42542200, SPY[[#This Row],[Gain]], 0)</f>
        <v>0</v>
      </c>
      <c r="J171" s="8">
        <f>IF(SPY[[#This Row],[Volume]] &lt; 79378480 - 1.5 * 42542200, SPY[[#This Row],[Gain]], 0)</f>
        <v>0</v>
      </c>
    </row>
    <row r="172" spans="1:10" x14ac:dyDescent="0.2">
      <c r="A172" s="1">
        <v>44484</v>
      </c>
      <c r="B172">
        <v>444.75</v>
      </c>
      <c r="C172">
        <v>446.26001000000002</v>
      </c>
      <c r="D172">
        <v>444.08999599999999</v>
      </c>
      <c r="E172">
        <v>445.86999500000002</v>
      </c>
      <c r="F172">
        <v>444.30902099999997</v>
      </c>
      <c r="G172">
        <v>66226800</v>
      </c>
      <c r="H172" s="8">
        <f>(SPY[[#This Row],[Open]]-SPY[[#This Row],[Close]])/SPY[[#This Row],[Open]] * 100</f>
        <v>-0.25182574480045355</v>
      </c>
      <c r="I172">
        <f>IF(SPY[[#This Row],[Volume]] &gt; 71975900+ 1.5 * 42542200, SPY[[#This Row],[Gain]], 0)</f>
        <v>0</v>
      </c>
      <c r="J172" s="8">
        <f>IF(SPY[[#This Row],[Volume]] &lt; 79378480 - 1.5 * 42542200, SPY[[#This Row],[Gain]], 0)</f>
        <v>0</v>
      </c>
    </row>
    <row r="173" spans="1:10" x14ac:dyDescent="0.2">
      <c r="A173" s="1">
        <v>44487</v>
      </c>
      <c r="B173">
        <v>443.97000100000002</v>
      </c>
      <c r="C173">
        <v>447.54998799999998</v>
      </c>
      <c r="D173">
        <v>443.26998900000001</v>
      </c>
      <c r="E173">
        <v>447.19000199999999</v>
      </c>
      <c r="F173">
        <v>445.62441999999999</v>
      </c>
      <c r="G173">
        <v>62213200</v>
      </c>
      <c r="H173" s="8">
        <f>(SPY[[#This Row],[Open]]-SPY[[#This Row],[Close]])/SPY[[#This Row],[Open]] * 100</f>
        <v>-0.72527445384760758</v>
      </c>
      <c r="I173">
        <f>IF(SPY[[#This Row],[Volume]] &gt; 71975900+ 1.5 * 42542200, SPY[[#This Row],[Gain]], 0)</f>
        <v>0</v>
      </c>
      <c r="J173" s="8">
        <f>IF(SPY[[#This Row],[Volume]] &lt; 79378480 - 1.5 * 42542200, SPY[[#This Row],[Gain]], 0)</f>
        <v>0</v>
      </c>
    </row>
    <row r="174" spans="1:10" x14ac:dyDescent="0.2">
      <c r="A174" s="1">
        <v>44488</v>
      </c>
      <c r="B174">
        <v>448.92001299999998</v>
      </c>
      <c r="C174">
        <v>450.709991</v>
      </c>
      <c r="D174">
        <v>448.26998900000001</v>
      </c>
      <c r="E174">
        <v>450.64001500000001</v>
      </c>
      <c r="F174">
        <v>449.06234699999999</v>
      </c>
      <c r="G174">
        <v>46996800</v>
      </c>
      <c r="H174" s="8">
        <f>(SPY[[#This Row],[Open]]-SPY[[#This Row],[Close]])/SPY[[#This Row],[Open]] * 100</f>
        <v>-0.38314219687060874</v>
      </c>
      <c r="I174">
        <f>IF(SPY[[#This Row],[Volume]] &gt; 71975900+ 1.5 * 42542200, SPY[[#This Row],[Gain]], 0)</f>
        <v>0</v>
      </c>
      <c r="J174" s="8">
        <f>IF(SPY[[#This Row],[Volume]] &lt; 79378480 - 1.5 * 42542200, SPY[[#This Row],[Gain]], 0)</f>
        <v>0</v>
      </c>
    </row>
    <row r="175" spans="1:10" x14ac:dyDescent="0.2">
      <c r="A175" s="1">
        <v>44489</v>
      </c>
      <c r="B175">
        <v>451.13000499999998</v>
      </c>
      <c r="C175">
        <v>452.73001099999999</v>
      </c>
      <c r="D175">
        <v>451.01001000000002</v>
      </c>
      <c r="E175">
        <v>452.41000400000001</v>
      </c>
      <c r="F175">
        <v>450.82614100000001</v>
      </c>
      <c r="G175">
        <v>49571600</v>
      </c>
      <c r="H175" s="8">
        <f>(SPY[[#This Row],[Open]]-SPY[[#This Row],[Close]])/SPY[[#This Row],[Open]] * 100</f>
        <v>-0.28373173715191746</v>
      </c>
      <c r="I175">
        <f>IF(SPY[[#This Row],[Volume]] &gt; 71975900+ 1.5 * 42542200, SPY[[#This Row],[Gain]], 0)</f>
        <v>0</v>
      </c>
      <c r="J175" s="8">
        <f>IF(SPY[[#This Row],[Volume]] &lt; 79378480 - 1.5 * 42542200, SPY[[#This Row],[Gain]], 0)</f>
        <v>0</v>
      </c>
    </row>
    <row r="176" spans="1:10" x14ac:dyDescent="0.2">
      <c r="A176" s="1">
        <v>44490</v>
      </c>
      <c r="B176">
        <v>451.76998900000001</v>
      </c>
      <c r="C176">
        <v>453.82998700000002</v>
      </c>
      <c r="D176">
        <v>451.30999800000001</v>
      </c>
      <c r="E176">
        <v>453.58999599999999</v>
      </c>
      <c r="F176">
        <v>452.00201399999997</v>
      </c>
      <c r="G176">
        <v>41305400</v>
      </c>
      <c r="H176" s="8">
        <f>(SPY[[#This Row],[Open]]-SPY[[#This Row],[Close]])/SPY[[#This Row],[Open]] * 100</f>
        <v>-0.40286142158946631</v>
      </c>
      <c r="I176">
        <f>IF(SPY[[#This Row],[Volume]] &gt; 71975900+ 1.5 * 42542200, SPY[[#This Row],[Gain]], 0)</f>
        <v>0</v>
      </c>
      <c r="J176" s="8">
        <f>IF(SPY[[#This Row],[Volume]] &lt; 79378480 - 1.5 * 42542200, SPY[[#This Row],[Gain]], 0)</f>
        <v>0</v>
      </c>
    </row>
    <row r="177" spans="1:10" x14ac:dyDescent="0.2">
      <c r="A177" s="1">
        <v>44491</v>
      </c>
      <c r="B177">
        <v>453.13000499999998</v>
      </c>
      <c r="C177">
        <v>454.67001299999998</v>
      </c>
      <c r="D177">
        <v>451.04998799999998</v>
      </c>
      <c r="E177">
        <v>453.11999500000002</v>
      </c>
      <c r="F177">
        <v>451.533661</v>
      </c>
      <c r="G177">
        <v>58845100</v>
      </c>
      <c r="H177" s="8">
        <f>(SPY[[#This Row],[Open]]-SPY[[#This Row],[Close]])/SPY[[#This Row],[Open]] * 100</f>
        <v>2.2090790478475728E-3</v>
      </c>
      <c r="I177">
        <f>IF(SPY[[#This Row],[Volume]] &gt; 71975900+ 1.5 * 42542200, SPY[[#This Row],[Gain]], 0)</f>
        <v>0</v>
      </c>
      <c r="J177" s="8">
        <f>IF(SPY[[#This Row],[Volume]] &lt; 79378480 - 1.5 * 42542200, SPY[[#This Row],[Gain]], 0)</f>
        <v>0</v>
      </c>
    </row>
    <row r="178" spans="1:10" x14ac:dyDescent="0.2">
      <c r="A178" s="1">
        <v>44494</v>
      </c>
      <c r="B178">
        <v>454.27999899999998</v>
      </c>
      <c r="C178">
        <v>455.89999399999999</v>
      </c>
      <c r="D178">
        <v>452.39001500000001</v>
      </c>
      <c r="E178">
        <v>455.54998799999998</v>
      </c>
      <c r="F178">
        <v>453.95513899999997</v>
      </c>
      <c r="G178">
        <v>45214500</v>
      </c>
      <c r="H178" s="8">
        <f>(SPY[[#This Row],[Open]]-SPY[[#This Row],[Close]])/SPY[[#This Row],[Open]] * 100</f>
        <v>-0.27956084414801841</v>
      </c>
      <c r="I178">
        <f>IF(SPY[[#This Row],[Volume]] &gt; 71975900+ 1.5 * 42542200, SPY[[#This Row],[Gain]], 0)</f>
        <v>0</v>
      </c>
      <c r="J178" s="8">
        <f>IF(SPY[[#This Row],[Volume]] &lt; 79378480 - 1.5 * 42542200, SPY[[#This Row],[Gain]], 0)</f>
        <v>0</v>
      </c>
    </row>
    <row r="179" spans="1:10" x14ac:dyDescent="0.2">
      <c r="A179" s="1">
        <v>44495</v>
      </c>
      <c r="B179">
        <v>457.20001200000002</v>
      </c>
      <c r="C179">
        <v>458.48998999999998</v>
      </c>
      <c r="D179">
        <v>455.55999800000001</v>
      </c>
      <c r="E179">
        <v>455.959991</v>
      </c>
      <c r="F179">
        <v>454.36370799999997</v>
      </c>
      <c r="G179">
        <v>56075100</v>
      </c>
      <c r="H179" s="8">
        <f>(SPY[[#This Row],[Open]]-SPY[[#This Row],[Close]])/SPY[[#This Row],[Open]] * 100</f>
        <v>0.27122068404495425</v>
      </c>
      <c r="I179">
        <f>IF(SPY[[#This Row],[Volume]] &gt; 71975900+ 1.5 * 42542200, SPY[[#This Row],[Gain]], 0)</f>
        <v>0</v>
      </c>
      <c r="J179" s="8">
        <f>IF(SPY[[#This Row],[Volume]] &lt; 79378480 - 1.5 * 42542200, SPY[[#This Row],[Gain]], 0)</f>
        <v>0</v>
      </c>
    </row>
    <row r="180" spans="1:10" x14ac:dyDescent="0.2">
      <c r="A180" s="1">
        <v>44496</v>
      </c>
      <c r="B180">
        <v>456.45001200000002</v>
      </c>
      <c r="C180">
        <v>457.16000400000001</v>
      </c>
      <c r="D180">
        <v>453.85998499999999</v>
      </c>
      <c r="E180">
        <v>453.94000199999999</v>
      </c>
      <c r="F180">
        <v>452.35079999999999</v>
      </c>
      <c r="G180">
        <v>72438000</v>
      </c>
      <c r="H180" s="8">
        <f>(SPY[[#This Row],[Open]]-SPY[[#This Row],[Close]])/SPY[[#This Row],[Open]] * 100</f>
        <v>0.54989811239177322</v>
      </c>
      <c r="I180">
        <f>IF(SPY[[#This Row],[Volume]] &gt; 71975900+ 1.5 * 42542200, SPY[[#This Row],[Gain]], 0)</f>
        <v>0</v>
      </c>
      <c r="J180" s="8">
        <f>IF(SPY[[#This Row],[Volume]] &lt; 79378480 - 1.5 * 42542200, SPY[[#This Row],[Gain]], 0)</f>
        <v>0</v>
      </c>
    </row>
    <row r="181" spans="1:10" x14ac:dyDescent="0.2">
      <c r="A181" s="1">
        <v>44497</v>
      </c>
      <c r="B181">
        <v>455.459991</v>
      </c>
      <c r="C181">
        <v>458.39999399999999</v>
      </c>
      <c r="D181">
        <v>455.45001200000002</v>
      </c>
      <c r="E181">
        <v>458.32000699999998</v>
      </c>
      <c r="F181">
        <v>456.71545400000002</v>
      </c>
      <c r="G181">
        <v>51437900</v>
      </c>
      <c r="H181" s="8">
        <f>(SPY[[#This Row],[Open]]-SPY[[#This Row],[Close]])/SPY[[#This Row],[Open]] * 100</f>
        <v>-0.62794011691796947</v>
      </c>
      <c r="I181">
        <f>IF(SPY[[#This Row],[Volume]] &gt; 71975900+ 1.5 * 42542200, SPY[[#This Row],[Gain]], 0)</f>
        <v>0</v>
      </c>
      <c r="J181" s="8">
        <f>IF(SPY[[#This Row],[Volume]] &lt; 79378480 - 1.5 * 42542200, SPY[[#This Row],[Gain]], 0)</f>
        <v>0</v>
      </c>
    </row>
    <row r="182" spans="1:10" x14ac:dyDescent="0.2">
      <c r="A182" s="1">
        <v>44498</v>
      </c>
      <c r="B182">
        <v>455.86999500000002</v>
      </c>
      <c r="C182">
        <v>459.55999800000001</v>
      </c>
      <c r="D182">
        <v>455.55999800000001</v>
      </c>
      <c r="E182">
        <v>459.25</v>
      </c>
      <c r="F182">
        <v>457.64218099999999</v>
      </c>
      <c r="G182">
        <v>70108200</v>
      </c>
      <c r="H182" s="8">
        <f>(SPY[[#This Row],[Open]]-SPY[[#This Row],[Close]])/SPY[[#This Row],[Open]] * 100</f>
        <v>-0.74144055039199996</v>
      </c>
      <c r="I182">
        <f>IF(SPY[[#This Row],[Volume]] &gt; 71975900+ 1.5 * 42542200, SPY[[#This Row],[Gain]], 0)</f>
        <v>0</v>
      </c>
      <c r="J182" s="8">
        <f>IF(SPY[[#This Row],[Volume]] &lt; 79378480 - 1.5 * 42542200, SPY[[#This Row],[Gain]], 0)</f>
        <v>0</v>
      </c>
    </row>
    <row r="183" spans="1:10" x14ac:dyDescent="0.2">
      <c r="A183" s="1">
        <v>44501</v>
      </c>
      <c r="B183">
        <v>460.29998799999998</v>
      </c>
      <c r="C183">
        <v>460.70001200000002</v>
      </c>
      <c r="D183">
        <v>458.20001200000002</v>
      </c>
      <c r="E183">
        <v>460.040009</v>
      </c>
      <c r="F183">
        <v>458.42944299999999</v>
      </c>
      <c r="G183">
        <v>48433600</v>
      </c>
      <c r="H183" s="8">
        <f>(SPY[[#This Row],[Open]]-SPY[[#This Row],[Close]])/SPY[[#This Row],[Open]] * 100</f>
        <v>5.6480340381843998E-2</v>
      </c>
      <c r="I183">
        <f>IF(SPY[[#This Row],[Volume]] &gt; 71975900+ 1.5 * 42542200, SPY[[#This Row],[Gain]], 0)</f>
        <v>0</v>
      </c>
      <c r="J183" s="8">
        <f>IF(SPY[[#This Row],[Volume]] &lt; 79378480 - 1.5 * 42542200, SPY[[#This Row],[Gain]], 0)</f>
        <v>0</v>
      </c>
    </row>
    <row r="184" spans="1:10" x14ac:dyDescent="0.2">
      <c r="A184" s="1">
        <v>44502</v>
      </c>
      <c r="B184">
        <v>460.22000100000002</v>
      </c>
      <c r="C184">
        <v>462.23001099999999</v>
      </c>
      <c r="D184">
        <v>460.07998700000002</v>
      </c>
      <c r="E184">
        <v>461.89999399999999</v>
      </c>
      <c r="F184">
        <v>460.28289799999999</v>
      </c>
      <c r="G184">
        <v>48908400</v>
      </c>
      <c r="H184" s="8">
        <f>(SPY[[#This Row],[Open]]-SPY[[#This Row],[Close]])/SPY[[#This Row],[Open]] * 100</f>
        <v>-0.36504128380982026</v>
      </c>
      <c r="I184">
        <f>IF(SPY[[#This Row],[Volume]] &gt; 71975900+ 1.5 * 42542200, SPY[[#This Row],[Gain]], 0)</f>
        <v>0</v>
      </c>
      <c r="J184" s="8">
        <f>IF(SPY[[#This Row],[Volume]] &lt; 79378480 - 1.5 * 42542200, SPY[[#This Row],[Gain]], 0)</f>
        <v>0</v>
      </c>
    </row>
    <row r="185" spans="1:10" x14ac:dyDescent="0.2">
      <c r="A185" s="1">
        <v>44503</v>
      </c>
      <c r="B185">
        <v>461.29998799999998</v>
      </c>
      <c r="C185">
        <v>465.14999399999999</v>
      </c>
      <c r="D185">
        <v>460.82998700000002</v>
      </c>
      <c r="E185">
        <v>464.72000100000002</v>
      </c>
      <c r="F185">
        <v>463.09304800000001</v>
      </c>
      <c r="G185">
        <v>52509800</v>
      </c>
      <c r="H185" s="8">
        <f>(SPY[[#This Row],[Open]]-SPY[[#This Row],[Close]])/SPY[[#This Row],[Open]] * 100</f>
        <v>-0.74138588531678873</v>
      </c>
      <c r="I185">
        <f>IF(SPY[[#This Row],[Volume]] &gt; 71975900+ 1.5 * 42542200, SPY[[#This Row],[Gain]], 0)</f>
        <v>0</v>
      </c>
      <c r="J185" s="8">
        <f>IF(SPY[[#This Row],[Volume]] &lt; 79378480 - 1.5 * 42542200, SPY[[#This Row],[Gain]], 0)</f>
        <v>0</v>
      </c>
    </row>
    <row r="186" spans="1:10" x14ac:dyDescent="0.2">
      <c r="A186" s="1">
        <v>44504</v>
      </c>
      <c r="B186">
        <v>465.35998499999999</v>
      </c>
      <c r="C186">
        <v>467</v>
      </c>
      <c r="D186">
        <v>464.98998999999998</v>
      </c>
      <c r="E186">
        <v>466.91000400000001</v>
      </c>
      <c r="F186">
        <v>465.27539100000001</v>
      </c>
      <c r="G186">
        <v>52847100</v>
      </c>
      <c r="H186" s="8">
        <f>(SPY[[#This Row],[Open]]-SPY[[#This Row],[Close]])/SPY[[#This Row],[Open]] * 100</f>
        <v>-0.33307956205130534</v>
      </c>
      <c r="I186">
        <f>IF(SPY[[#This Row],[Volume]] &gt; 71975900+ 1.5 * 42542200, SPY[[#This Row],[Gain]], 0)</f>
        <v>0</v>
      </c>
      <c r="J186" s="8">
        <f>IF(SPY[[#This Row],[Volume]] &lt; 79378480 - 1.5 * 42542200, SPY[[#This Row],[Gain]], 0)</f>
        <v>0</v>
      </c>
    </row>
    <row r="187" spans="1:10" x14ac:dyDescent="0.2">
      <c r="A187" s="1">
        <v>44505</v>
      </c>
      <c r="B187">
        <v>469.27999899999998</v>
      </c>
      <c r="C187">
        <v>470.64999399999999</v>
      </c>
      <c r="D187">
        <v>466.92001299999998</v>
      </c>
      <c r="E187">
        <v>468.52999899999998</v>
      </c>
      <c r="F187">
        <v>466.88970899999998</v>
      </c>
      <c r="G187">
        <v>66332200</v>
      </c>
      <c r="H187" s="8">
        <f>(SPY[[#This Row],[Open]]-SPY[[#This Row],[Close]])/SPY[[#This Row],[Open]] * 100</f>
        <v>0.15981929798802272</v>
      </c>
      <c r="I187">
        <f>IF(SPY[[#This Row],[Volume]] &gt; 71975900+ 1.5 * 42542200, SPY[[#This Row],[Gain]], 0)</f>
        <v>0</v>
      </c>
      <c r="J187" s="8">
        <f>IF(SPY[[#This Row],[Volume]] &lt; 79378480 - 1.5 * 42542200, SPY[[#This Row],[Gain]], 0)</f>
        <v>0</v>
      </c>
    </row>
    <row r="188" spans="1:10" x14ac:dyDescent="0.2">
      <c r="A188" s="1">
        <v>44508</v>
      </c>
      <c r="B188">
        <v>469.70001200000002</v>
      </c>
      <c r="C188">
        <v>470.23001099999999</v>
      </c>
      <c r="D188">
        <v>468.20001200000002</v>
      </c>
      <c r="E188">
        <v>468.92999300000002</v>
      </c>
      <c r="F188">
        <v>467.28829999999999</v>
      </c>
      <c r="G188">
        <v>50405200</v>
      </c>
      <c r="H188" s="8">
        <f>(SPY[[#This Row],[Open]]-SPY[[#This Row],[Close]])/SPY[[#This Row],[Open]] * 100</f>
        <v>0.16393846717636248</v>
      </c>
      <c r="I188">
        <f>IF(SPY[[#This Row],[Volume]] &gt; 71975900+ 1.5 * 42542200, SPY[[#This Row],[Gain]], 0)</f>
        <v>0</v>
      </c>
      <c r="J188" s="8">
        <f>IF(SPY[[#This Row],[Volume]] &lt; 79378480 - 1.5 * 42542200, SPY[[#This Row],[Gain]], 0)</f>
        <v>0</v>
      </c>
    </row>
    <row r="189" spans="1:10" x14ac:dyDescent="0.2">
      <c r="A189" s="1">
        <v>44509</v>
      </c>
      <c r="B189">
        <v>469.32000699999998</v>
      </c>
      <c r="C189">
        <v>469.57000699999998</v>
      </c>
      <c r="D189">
        <v>465.88000499999998</v>
      </c>
      <c r="E189">
        <v>467.38000499999998</v>
      </c>
      <c r="F189">
        <v>465.74374399999999</v>
      </c>
      <c r="G189">
        <v>51149100</v>
      </c>
      <c r="H189" s="8">
        <f>(SPY[[#This Row],[Open]]-SPY[[#This Row],[Close]])/SPY[[#This Row],[Open]] * 100</f>
        <v>0.41336443600623929</v>
      </c>
      <c r="I189">
        <f>IF(SPY[[#This Row],[Volume]] &gt; 71975900+ 1.5 * 42542200, SPY[[#This Row],[Gain]], 0)</f>
        <v>0</v>
      </c>
      <c r="J189" s="8">
        <f>IF(SPY[[#This Row],[Volume]] &lt; 79378480 - 1.5 * 42542200, SPY[[#This Row],[Gain]], 0)</f>
        <v>0</v>
      </c>
    </row>
    <row r="190" spans="1:10" x14ac:dyDescent="0.2">
      <c r="A190" s="1">
        <v>44510</v>
      </c>
      <c r="B190">
        <v>465.57998700000002</v>
      </c>
      <c r="C190">
        <v>467.38000499999998</v>
      </c>
      <c r="D190">
        <v>462.040009</v>
      </c>
      <c r="E190">
        <v>463.61999500000002</v>
      </c>
      <c r="F190">
        <v>461.99688700000002</v>
      </c>
      <c r="G190">
        <v>69429700</v>
      </c>
      <c r="H190" s="8">
        <f>(SPY[[#This Row],[Open]]-SPY[[#This Row],[Close]])/SPY[[#This Row],[Open]] * 100</f>
        <v>0.42097857612595352</v>
      </c>
      <c r="I190">
        <f>IF(SPY[[#This Row],[Volume]] &gt; 71975900+ 1.5 * 42542200, SPY[[#This Row],[Gain]], 0)</f>
        <v>0</v>
      </c>
      <c r="J190" s="8">
        <f>IF(SPY[[#This Row],[Volume]] &lt; 79378480 - 1.5 * 42542200, SPY[[#This Row],[Gain]], 0)</f>
        <v>0</v>
      </c>
    </row>
    <row r="191" spans="1:10" x14ac:dyDescent="0.2">
      <c r="A191" s="1">
        <v>44511</v>
      </c>
      <c r="B191">
        <v>465.209991</v>
      </c>
      <c r="C191">
        <v>465.290009</v>
      </c>
      <c r="D191">
        <v>463.75</v>
      </c>
      <c r="E191">
        <v>463.76998900000001</v>
      </c>
      <c r="F191">
        <v>462.14636200000001</v>
      </c>
      <c r="G191">
        <v>34848500</v>
      </c>
      <c r="H191" s="8">
        <f>(SPY[[#This Row],[Open]]-SPY[[#This Row],[Close]])/SPY[[#This Row],[Open]] * 100</f>
        <v>0.30953806406964995</v>
      </c>
      <c r="I191">
        <f>IF(SPY[[#This Row],[Volume]] &gt; 71975900+ 1.5 * 42542200, SPY[[#This Row],[Gain]], 0)</f>
        <v>0</v>
      </c>
      <c r="J191" s="8">
        <f>IF(SPY[[#This Row],[Volume]] &lt; 79378480 - 1.5 * 42542200, SPY[[#This Row],[Gain]], 0)</f>
        <v>0</v>
      </c>
    </row>
    <row r="192" spans="1:10" x14ac:dyDescent="0.2">
      <c r="A192" s="1">
        <v>44512</v>
      </c>
      <c r="B192">
        <v>465.11999500000002</v>
      </c>
      <c r="C192">
        <v>467.85998499999999</v>
      </c>
      <c r="D192">
        <v>464.10998499999999</v>
      </c>
      <c r="E192">
        <v>467.26998900000001</v>
      </c>
      <c r="F192">
        <v>465.634094</v>
      </c>
      <c r="G192">
        <v>53423300</v>
      </c>
      <c r="H192" s="8">
        <f>(SPY[[#This Row],[Open]]-SPY[[#This Row],[Close]])/SPY[[#This Row],[Open]] * 100</f>
        <v>-0.46224501700899623</v>
      </c>
      <c r="I192">
        <f>IF(SPY[[#This Row],[Volume]] &gt; 71975900+ 1.5 * 42542200, SPY[[#This Row],[Gain]], 0)</f>
        <v>0</v>
      </c>
      <c r="J192" s="8">
        <f>IF(SPY[[#This Row],[Volume]] &lt; 79378480 - 1.5 * 42542200, SPY[[#This Row],[Gain]], 0)</f>
        <v>0</v>
      </c>
    </row>
    <row r="193" spans="1:10" x14ac:dyDescent="0.2">
      <c r="A193" s="1">
        <v>44515</v>
      </c>
      <c r="B193">
        <v>468.64001500000001</v>
      </c>
      <c r="C193">
        <v>468.80999800000001</v>
      </c>
      <c r="D193">
        <v>466.23001099999999</v>
      </c>
      <c r="E193">
        <v>467.42999300000002</v>
      </c>
      <c r="F193">
        <v>465.79354899999998</v>
      </c>
      <c r="G193">
        <v>46980500</v>
      </c>
      <c r="H193" s="8">
        <f>(SPY[[#This Row],[Open]]-SPY[[#This Row],[Close]])/SPY[[#This Row],[Open]] * 100</f>
        <v>0.25819860901122171</v>
      </c>
      <c r="I193">
        <f>IF(SPY[[#This Row],[Volume]] &gt; 71975900+ 1.5 * 42542200, SPY[[#This Row],[Gain]], 0)</f>
        <v>0</v>
      </c>
      <c r="J193" s="8">
        <f>IF(SPY[[#This Row],[Volume]] &lt; 79378480 - 1.5 * 42542200, SPY[[#This Row],[Gain]], 0)</f>
        <v>0</v>
      </c>
    </row>
    <row r="194" spans="1:10" x14ac:dyDescent="0.2">
      <c r="A194" s="1">
        <v>44516</v>
      </c>
      <c r="B194">
        <v>467.14999399999999</v>
      </c>
      <c r="C194">
        <v>470.48998999999998</v>
      </c>
      <c r="D194">
        <v>467.07000699999998</v>
      </c>
      <c r="E194">
        <v>469.27999899999998</v>
      </c>
      <c r="F194">
        <v>467.63708500000001</v>
      </c>
      <c r="G194">
        <v>48857500</v>
      </c>
      <c r="H194" s="8">
        <f>(SPY[[#This Row],[Open]]-SPY[[#This Row],[Close]])/SPY[[#This Row],[Open]] * 100</f>
        <v>-0.45595740711921806</v>
      </c>
      <c r="I194">
        <f>IF(SPY[[#This Row],[Volume]] &gt; 71975900+ 1.5 * 42542200, SPY[[#This Row],[Gain]], 0)</f>
        <v>0</v>
      </c>
      <c r="J194" s="8">
        <f>IF(SPY[[#This Row],[Volume]] &lt; 79378480 - 1.5 * 42542200, SPY[[#This Row],[Gain]], 0)</f>
        <v>0</v>
      </c>
    </row>
    <row r="195" spans="1:10" x14ac:dyDescent="0.2">
      <c r="A195" s="1">
        <v>44517</v>
      </c>
      <c r="B195">
        <v>469</v>
      </c>
      <c r="C195">
        <v>469.19000199999999</v>
      </c>
      <c r="D195">
        <v>467.48001099999999</v>
      </c>
      <c r="E195">
        <v>468.14001500000001</v>
      </c>
      <c r="F195">
        <v>466.50109900000001</v>
      </c>
      <c r="G195">
        <v>47858300</v>
      </c>
      <c r="H195" s="8">
        <f>(SPY[[#This Row],[Open]]-SPY[[#This Row],[Close]])/SPY[[#This Row],[Open]] * 100</f>
        <v>0.18336567164178991</v>
      </c>
      <c r="I195">
        <f>IF(SPY[[#This Row],[Volume]] &gt; 71975900+ 1.5 * 42542200, SPY[[#This Row],[Gain]], 0)</f>
        <v>0</v>
      </c>
      <c r="J195" s="8">
        <f>IF(SPY[[#This Row],[Volume]] &lt; 79378480 - 1.5 * 42542200, SPY[[#This Row],[Gain]], 0)</f>
        <v>0</v>
      </c>
    </row>
    <row r="196" spans="1:10" x14ac:dyDescent="0.2">
      <c r="A196" s="1">
        <v>44518</v>
      </c>
      <c r="B196">
        <v>469.23998999999998</v>
      </c>
      <c r="C196">
        <v>470.01001000000002</v>
      </c>
      <c r="D196">
        <v>466.33999599999999</v>
      </c>
      <c r="E196">
        <v>469.73001099999999</v>
      </c>
      <c r="F196">
        <v>468.08551</v>
      </c>
      <c r="G196">
        <v>50625600</v>
      </c>
      <c r="H196" s="8">
        <f>(SPY[[#This Row],[Open]]-SPY[[#This Row],[Close]])/SPY[[#This Row],[Open]] * 100</f>
        <v>-0.10442865280941059</v>
      </c>
      <c r="I196">
        <f>IF(SPY[[#This Row],[Volume]] &gt; 71975900+ 1.5 * 42542200, SPY[[#This Row],[Gain]], 0)</f>
        <v>0</v>
      </c>
      <c r="J196" s="8">
        <f>IF(SPY[[#This Row],[Volume]] &lt; 79378480 - 1.5 * 42542200, SPY[[#This Row],[Gain]], 0)</f>
        <v>0</v>
      </c>
    </row>
    <row r="197" spans="1:10" x14ac:dyDescent="0.2">
      <c r="A197" s="1">
        <v>44519</v>
      </c>
      <c r="B197">
        <v>469.60998499999999</v>
      </c>
      <c r="C197">
        <v>470.94000199999999</v>
      </c>
      <c r="D197">
        <v>468.5</v>
      </c>
      <c r="E197">
        <v>468.89001500000001</v>
      </c>
      <c r="F197">
        <v>467.24847399999999</v>
      </c>
      <c r="G197">
        <v>57315600</v>
      </c>
      <c r="H197" s="8">
        <f>(SPY[[#This Row],[Open]]-SPY[[#This Row],[Close]])/SPY[[#This Row],[Open]] * 100</f>
        <v>0.15331232788842628</v>
      </c>
      <c r="I197">
        <f>IF(SPY[[#This Row],[Volume]] &gt; 71975900+ 1.5 * 42542200, SPY[[#This Row],[Gain]], 0)</f>
        <v>0</v>
      </c>
      <c r="J197" s="8">
        <f>IF(SPY[[#This Row],[Volume]] &lt; 79378480 - 1.5 * 42542200, SPY[[#This Row],[Gain]], 0)</f>
        <v>0</v>
      </c>
    </row>
    <row r="198" spans="1:10" x14ac:dyDescent="0.2">
      <c r="A198" s="1">
        <v>44522</v>
      </c>
      <c r="B198">
        <v>470.89001500000001</v>
      </c>
      <c r="C198">
        <v>473.540009</v>
      </c>
      <c r="D198">
        <v>467.35000600000001</v>
      </c>
      <c r="E198">
        <v>467.57000699999998</v>
      </c>
      <c r="F198">
        <v>465.93307499999997</v>
      </c>
      <c r="G198">
        <v>72762000</v>
      </c>
      <c r="H198" s="8">
        <f>(SPY[[#This Row],[Open]]-SPY[[#This Row],[Close]])/SPY[[#This Row],[Open]] * 100</f>
        <v>0.70504956449332012</v>
      </c>
      <c r="I198">
        <f>IF(SPY[[#This Row],[Volume]] &gt; 71975900+ 1.5 * 42542200, SPY[[#This Row],[Gain]], 0)</f>
        <v>0</v>
      </c>
      <c r="J198" s="8">
        <f>IF(SPY[[#This Row],[Volume]] &lt; 79378480 - 1.5 * 42542200, SPY[[#This Row],[Gain]], 0)</f>
        <v>0</v>
      </c>
    </row>
    <row r="199" spans="1:10" x14ac:dyDescent="0.2">
      <c r="A199" s="1">
        <v>44523</v>
      </c>
      <c r="B199">
        <v>467.22000100000002</v>
      </c>
      <c r="C199">
        <v>469.10000600000001</v>
      </c>
      <c r="D199">
        <v>464.45001200000002</v>
      </c>
      <c r="E199">
        <v>468.19000199999999</v>
      </c>
      <c r="F199">
        <v>466.55090300000001</v>
      </c>
      <c r="G199">
        <v>73206500</v>
      </c>
      <c r="H199" s="8">
        <f>(SPY[[#This Row],[Open]]-SPY[[#This Row],[Close]])/SPY[[#This Row],[Open]] * 100</f>
        <v>-0.20761118914512564</v>
      </c>
      <c r="I199">
        <f>IF(SPY[[#This Row],[Volume]] &gt; 71975900+ 1.5 * 42542200, SPY[[#This Row],[Gain]], 0)</f>
        <v>0</v>
      </c>
      <c r="J199" s="8">
        <f>IF(SPY[[#This Row],[Volume]] &lt; 79378480 - 1.5 * 42542200, SPY[[#This Row],[Gain]], 0)</f>
        <v>0</v>
      </c>
    </row>
    <row r="200" spans="1:10" x14ac:dyDescent="0.2">
      <c r="A200" s="1">
        <v>44524</v>
      </c>
      <c r="B200">
        <v>466.05999800000001</v>
      </c>
      <c r="C200">
        <v>469.57000699999998</v>
      </c>
      <c r="D200">
        <v>465.19000199999999</v>
      </c>
      <c r="E200">
        <v>469.44000199999999</v>
      </c>
      <c r="F200">
        <v>467.79650900000001</v>
      </c>
      <c r="G200">
        <v>61858800</v>
      </c>
      <c r="H200" s="8">
        <f>(SPY[[#This Row],[Open]]-SPY[[#This Row],[Close]])/SPY[[#This Row],[Open]] * 100</f>
        <v>-0.72522937272123167</v>
      </c>
      <c r="I200">
        <f>IF(SPY[[#This Row],[Volume]] &gt; 71975900+ 1.5 * 42542200, SPY[[#This Row],[Gain]], 0)</f>
        <v>0</v>
      </c>
      <c r="J200" s="8">
        <f>IF(SPY[[#This Row],[Volume]] &lt; 79378480 - 1.5 * 42542200, SPY[[#This Row],[Gain]], 0)</f>
        <v>0</v>
      </c>
    </row>
    <row r="201" spans="1:10" x14ac:dyDescent="0.2">
      <c r="A201" s="1">
        <v>44526</v>
      </c>
      <c r="B201">
        <v>462.33999599999999</v>
      </c>
      <c r="C201">
        <v>463.89999399999999</v>
      </c>
      <c r="D201">
        <v>457.76998900000001</v>
      </c>
      <c r="E201">
        <v>458.97000100000002</v>
      </c>
      <c r="F201">
        <v>457.36318999999997</v>
      </c>
      <c r="G201">
        <v>112669600</v>
      </c>
      <c r="H201" s="8">
        <f>(SPY[[#This Row],[Open]]-SPY[[#This Row],[Close]])/SPY[[#This Row],[Open]] * 100</f>
        <v>0.72889973377945871</v>
      </c>
      <c r="I201">
        <f>IF(SPY[[#This Row],[Volume]] &gt; 71975900+ 1.5 * 42542200, SPY[[#This Row],[Gain]], 0)</f>
        <v>0</v>
      </c>
      <c r="J201" s="8">
        <f>IF(SPY[[#This Row],[Volume]] &lt; 79378480 - 1.5 * 42542200, SPY[[#This Row],[Gain]], 0)</f>
        <v>0</v>
      </c>
    </row>
    <row r="202" spans="1:10" x14ac:dyDescent="0.2">
      <c r="A202" s="1">
        <v>44529</v>
      </c>
      <c r="B202">
        <v>464.07000699999998</v>
      </c>
      <c r="C202">
        <v>466.55999800000001</v>
      </c>
      <c r="D202">
        <v>461.73001099999999</v>
      </c>
      <c r="E202">
        <v>464.60000600000001</v>
      </c>
      <c r="F202">
        <v>462.97348</v>
      </c>
      <c r="G202">
        <v>86268800</v>
      </c>
      <c r="H202" s="8">
        <f>(SPY[[#This Row],[Open]]-SPY[[#This Row],[Close]])/SPY[[#This Row],[Open]] * 100</f>
        <v>-0.1142066912331251</v>
      </c>
      <c r="I202">
        <f>IF(SPY[[#This Row],[Volume]] &gt; 71975900+ 1.5 * 42542200, SPY[[#This Row],[Gain]], 0)</f>
        <v>0</v>
      </c>
      <c r="J202" s="8">
        <f>IF(SPY[[#This Row],[Volume]] &lt; 79378480 - 1.5 * 42542200, SPY[[#This Row],[Gain]], 0)</f>
        <v>0</v>
      </c>
    </row>
    <row r="203" spans="1:10" x14ac:dyDescent="0.2">
      <c r="A203" s="1">
        <v>44530</v>
      </c>
      <c r="B203">
        <v>462</v>
      </c>
      <c r="C203">
        <v>464.02999899999998</v>
      </c>
      <c r="D203">
        <v>455.29998799999998</v>
      </c>
      <c r="E203">
        <v>455.55999800000001</v>
      </c>
      <c r="F203">
        <v>453.96511800000002</v>
      </c>
      <c r="G203">
        <v>148559600</v>
      </c>
      <c r="H203" s="8">
        <f>(SPY[[#This Row],[Open]]-SPY[[#This Row],[Close]])/SPY[[#This Row],[Open]] * 100</f>
        <v>1.3939398268398251</v>
      </c>
      <c r="I203">
        <f>IF(SPY[[#This Row],[Volume]] &gt; 71975900+ 1.5 * 42542200, SPY[[#This Row],[Gain]], 0)</f>
        <v>1.3939398268398251</v>
      </c>
      <c r="J203" s="8">
        <f>IF(SPY[[#This Row],[Volume]] &lt; 79378480 - 1.5 * 42542200, SPY[[#This Row],[Gain]], 0)</f>
        <v>0</v>
      </c>
    </row>
    <row r="204" spans="1:10" x14ac:dyDescent="0.2">
      <c r="A204" s="1">
        <v>44531</v>
      </c>
      <c r="B204">
        <v>461.64001500000001</v>
      </c>
      <c r="C204">
        <v>464.67001299999998</v>
      </c>
      <c r="D204">
        <v>450.290009</v>
      </c>
      <c r="E204">
        <v>450.5</v>
      </c>
      <c r="F204">
        <v>448.922821</v>
      </c>
      <c r="G204">
        <v>131939200</v>
      </c>
      <c r="H204" s="8">
        <f>(SPY[[#This Row],[Open]]-SPY[[#This Row],[Close]])/SPY[[#This Row],[Open]] * 100</f>
        <v>2.4131389476711642</v>
      </c>
      <c r="I204">
        <f>IF(SPY[[#This Row],[Volume]] &gt; 71975900+ 1.5 * 42542200, SPY[[#This Row],[Gain]], 0)</f>
        <v>0</v>
      </c>
      <c r="J204" s="8">
        <f>IF(SPY[[#This Row],[Volume]] &lt; 79378480 - 1.5 * 42542200, SPY[[#This Row],[Gain]], 0)</f>
        <v>0</v>
      </c>
    </row>
    <row r="205" spans="1:10" x14ac:dyDescent="0.2">
      <c r="A205" s="1">
        <v>44532</v>
      </c>
      <c r="B205">
        <v>450.73001099999999</v>
      </c>
      <c r="C205">
        <v>459.07000699999998</v>
      </c>
      <c r="D205">
        <v>450.30999800000001</v>
      </c>
      <c r="E205">
        <v>457.39999399999999</v>
      </c>
      <c r="F205">
        <v>455.798676</v>
      </c>
      <c r="G205">
        <v>127637800</v>
      </c>
      <c r="H205" s="8">
        <f>(SPY[[#This Row],[Open]]-SPY[[#This Row],[Close]])/SPY[[#This Row],[Open]] * 100</f>
        <v>-1.4798178149269057</v>
      </c>
      <c r="I205">
        <f>IF(SPY[[#This Row],[Volume]] &gt; 71975900+ 1.5 * 42542200, SPY[[#This Row],[Gain]], 0)</f>
        <v>0</v>
      </c>
      <c r="J205" s="8">
        <f>IF(SPY[[#This Row],[Volume]] &lt; 79378480 - 1.5 * 42542200, SPY[[#This Row],[Gain]], 0)</f>
        <v>0</v>
      </c>
    </row>
    <row r="206" spans="1:10" x14ac:dyDescent="0.2">
      <c r="A206" s="1">
        <v>44533</v>
      </c>
      <c r="B206">
        <v>459.17001299999998</v>
      </c>
      <c r="C206">
        <v>460.29998799999998</v>
      </c>
      <c r="D206">
        <v>448.92001299999998</v>
      </c>
      <c r="E206">
        <v>453.42001299999998</v>
      </c>
      <c r="F206">
        <v>451.83261099999999</v>
      </c>
      <c r="G206">
        <v>137167700</v>
      </c>
      <c r="H206" s="8">
        <f>(SPY[[#This Row],[Open]]-SPY[[#This Row],[Close]])/SPY[[#This Row],[Open]] * 100</f>
        <v>1.2522594762737698</v>
      </c>
      <c r="I206">
        <f>IF(SPY[[#This Row],[Volume]] &gt; 71975900+ 1.5 * 42542200, SPY[[#This Row],[Gain]], 0)</f>
        <v>1.2522594762737698</v>
      </c>
      <c r="J206" s="8">
        <f>IF(SPY[[#This Row],[Volume]] &lt; 79378480 - 1.5 * 42542200, SPY[[#This Row],[Gain]], 0)</f>
        <v>0</v>
      </c>
    </row>
    <row r="207" spans="1:10" x14ac:dyDescent="0.2">
      <c r="A207" s="1">
        <v>44536</v>
      </c>
      <c r="B207">
        <v>456.13000499999998</v>
      </c>
      <c r="C207">
        <v>460.790009</v>
      </c>
      <c r="D207">
        <v>453.55999800000001</v>
      </c>
      <c r="E207">
        <v>458.790009</v>
      </c>
      <c r="F207">
        <v>457.183807</v>
      </c>
      <c r="G207">
        <v>98977500</v>
      </c>
      <c r="H207" s="8">
        <f>(SPY[[#This Row],[Open]]-SPY[[#This Row],[Close]])/SPY[[#This Row],[Open]] * 100</f>
        <v>-0.5831679501110687</v>
      </c>
      <c r="I207">
        <f>IF(SPY[[#This Row],[Volume]] &gt; 71975900+ 1.5 * 42542200, SPY[[#This Row],[Gain]], 0)</f>
        <v>0</v>
      </c>
      <c r="J207" s="8">
        <f>IF(SPY[[#This Row],[Volume]] &lt; 79378480 - 1.5 * 42542200, SPY[[#This Row],[Gain]], 0)</f>
        <v>0</v>
      </c>
    </row>
    <row r="208" spans="1:10" x14ac:dyDescent="0.2">
      <c r="A208" s="1">
        <v>44537</v>
      </c>
      <c r="B208">
        <v>464.41000400000001</v>
      </c>
      <c r="C208">
        <v>468.88000499999998</v>
      </c>
      <c r="D208">
        <v>458.64999399999999</v>
      </c>
      <c r="E208">
        <v>468.27999899999998</v>
      </c>
      <c r="F208">
        <v>466.64059400000002</v>
      </c>
      <c r="G208">
        <v>95484700</v>
      </c>
      <c r="H208" s="8">
        <f>(SPY[[#This Row],[Open]]-SPY[[#This Row],[Close]])/SPY[[#This Row],[Open]] * 100</f>
        <v>-0.83331430560655195</v>
      </c>
      <c r="I208">
        <f>IF(SPY[[#This Row],[Volume]] &gt; 71975900+ 1.5 * 42542200, SPY[[#This Row],[Gain]], 0)</f>
        <v>0</v>
      </c>
      <c r="J208" s="8">
        <f>IF(SPY[[#This Row],[Volume]] &lt; 79378480 - 1.5 * 42542200, SPY[[#This Row],[Gain]], 0)</f>
        <v>0</v>
      </c>
    </row>
    <row r="209" spans="1:10" x14ac:dyDescent="0.2">
      <c r="A209" s="1">
        <v>44538</v>
      </c>
      <c r="B209">
        <v>468.70001200000002</v>
      </c>
      <c r="C209">
        <v>470</v>
      </c>
      <c r="D209">
        <v>466.82998700000002</v>
      </c>
      <c r="E209">
        <v>469.51998900000001</v>
      </c>
      <c r="F209">
        <v>467.87622099999999</v>
      </c>
      <c r="G209">
        <v>72238800</v>
      </c>
      <c r="H209" s="8">
        <f>(SPY[[#This Row],[Open]]-SPY[[#This Row],[Close]])/SPY[[#This Row],[Open]] * 100</f>
        <v>-0.17494708321022923</v>
      </c>
      <c r="I209">
        <f>IF(SPY[[#This Row],[Volume]] &gt; 71975900+ 1.5 * 42542200, SPY[[#This Row],[Gain]], 0)</f>
        <v>0</v>
      </c>
      <c r="J209" s="8">
        <f>IF(SPY[[#This Row],[Volume]] &lt; 79378480 - 1.5 * 42542200, SPY[[#This Row],[Gain]], 0)</f>
        <v>0</v>
      </c>
    </row>
    <row r="210" spans="1:10" x14ac:dyDescent="0.2">
      <c r="A210" s="1">
        <v>44539</v>
      </c>
      <c r="B210">
        <v>468.14999399999999</v>
      </c>
      <c r="C210">
        <v>469.63000499999998</v>
      </c>
      <c r="D210">
        <v>466.14001500000001</v>
      </c>
      <c r="E210">
        <v>466.35000600000001</v>
      </c>
      <c r="F210">
        <v>464.71734600000002</v>
      </c>
      <c r="G210">
        <v>61272600</v>
      </c>
      <c r="H210" s="8">
        <f>(SPY[[#This Row],[Open]]-SPY[[#This Row],[Close]])/SPY[[#This Row],[Open]] * 100</f>
        <v>0.38448959159870988</v>
      </c>
      <c r="I210">
        <f>IF(SPY[[#This Row],[Volume]] &gt; 71975900+ 1.5 * 42542200, SPY[[#This Row],[Gain]], 0)</f>
        <v>0</v>
      </c>
      <c r="J210" s="8">
        <f>IF(SPY[[#This Row],[Volume]] &lt; 79378480 - 1.5 * 42542200, SPY[[#This Row],[Gain]], 0)</f>
        <v>0</v>
      </c>
    </row>
    <row r="211" spans="1:10" x14ac:dyDescent="0.2">
      <c r="A211" s="1">
        <v>44540</v>
      </c>
      <c r="B211">
        <v>469.23001099999999</v>
      </c>
      <c r="C211">
        <v>470.89999399999999</v>
      </c>
      <c r="D211">
        <v>466.51001000000002</v>
      </c>
      <c r="E211">
        <v>470.73998999999998</v>
      </c>
      <c r="F211">
        <v>469.091949</v>
      </c>
      <c r="G211">
        <v>76949400</v>
      </c>
      <c r="H211" s="8">
        <f>(SPY[[#This Row],[Open]]-SPY[[#This Row],[Close]])/SPY[[#This Row],[Open]] * 100</f>
        <v>-0.32179932327473981</v>
      </c>
      <c r="I211">
        <f>IF(SPY[[#This Row],[Volume]] &gt; 71975900+ 1.5 * 42542200, SPY[[#This Row],[Gain]], 0)</f>
        <v>0</v>
      </c>
      <c r="J211" s="8">
        <f>IF(SPY[[#This Row],[Volume]] &lt; 79378480 - 1.5 * 42542200, SPY[[#This Row],[Gain]], 0)</f>
        <v>0</v>
      </c>
    </row>
    <row r="212" spans="1:10" x14ac:dyDescent="0.2">
      <c r="A212" s="1">
        <v>44543</v>
      </c>
      <c r="B212">
        <v>470.19000199999999</v>
      </c>
      <c r="C212">
        <v>470.55999800000001</v>
      </c>
      <c r="D212">
        <v>466.26998900000001</v>
      </c>
      <c r="E212">
        <v>466.57000699999998</v>
      </c>
      <c r="F212">
        <v>464.93658399999998</v>
      </c>
      <c r="G212">
        <v>87724700</v>
      </c>
      <c r="H212" s="8">
        <f>(SPY[[#This Row],[Open]]-SPY[[#This Row],[Close]])/SPY[[#This Row],[Open]] * 100</f>
        <v>0.76990046249431243</v>
      </c>
      <c r="I212">
        <f>IF(SPY[[#This Row],[Volume]] &gt; 71975900+ 1.5 * 42542200, SPY[[#This Row],[Gain]], 0)</f>
        <v>0</v>
      </c>
      <c r="J212" s="8">
        <f>IF(SPY[[#This Row],[Volume]] &lt; 79378480 - 1.5 * 42542200, SPY[[#This Row],[Gain]], 0)</f>
        <v>0</v>
      </c>
    </row>
    <row r="213" spans="1:10" x14ac:dyDescent="0.2">
      <c r="A213" s="1">
        <v>44544</v>
      </c>
      <c r="B213">
        <v>463.08999599999999</v>
      </c>
      <c r="C213">
        <v>465.73998999999998</v>
      </c>
      <c r="D213">
        <v>460.25</v>
      </c>
      <c r="E213">
        <v>463.35998499999999</v>
      </c>
      <c r="F213">
        <v>461.73779300000001</v>
      </c>
      <c r="G213">
        <v>97264100</v>
      </c>
      <c r="H213" s="8">
        <f>(SPY[[#This Row],[Open]]-SPY[[#This Row],[Close]])/SPY[[#This Row],[Open]] * 100</f>
        <v>-5.8301626537406254E-2</v>
      </c>
      <c r="I213">
        <f>IF(SPY[[#This Row],[Volume]] &gt; 71975900+ 1.5 * 42542200, SPY[[#This Row],[Gain]], 0)</f>
        <v>0</v>
      </c>
      <c r="J213" s="8">
        <f>IF(SPY[[#This Row],[Volume]] &lt; 79378480 - 1.5 * 42542200, SPY[[#This Row],[Gain]], 0)</f>
        <v>0</v>
      </c>
    </row>
    <row r="214" spans="1:10" x14ac:dyDescent="0.2">
      <c r="A214" s="1">
        <v>44545</v>
      </c>
      <c r="B214">
        <v>463.42001299999998</v>
      </c>
      <c r="C214">
        <v>470.85998499999999</v>
      </c>
      <c r="D214">
        <v>460.73998999999998</v>
      </c>
      <c r="E214">
        <v>470.60000600000001</v>
      </c>
      <c r="F214">
        <v>468.95245399999999</v>
      </c>
      <c r="G214">
        <v>116899300</v>
      </c>
      <c r="H214" s="8">
        <f>(SPY[[#This Row],[Open]]-SPY[[#This Row],[Close]])/SPY[[#This Row],[Open]] * 100</f>
        <v>-1.5493489272333227</v>
      </c>
      <c r="I214">
        <f>IF(SPY[[#This Row],[Volume]] &gt; 71975900+ 1.5 * 42542200, SPY[[#This Row],[Gain]], 0)</f>
        <v>0</v>
      </c>
      <c r="J214" s="8">
        <f>IF(SPY[[#This Row],[Volume]] &lt; 79378480 - 1.5 * 42542200, SPY[[#This Row],[Gain]], 0)</f>
        <v>0</v>
      </c>
    </row>
    <row r="215" spans="1:10" x14ac:dyDescent="0.2">
      <c r="A215" s="1">
        <v>44546</v>
      </c>
      <c r="B215">
        <v>472.57000699999998</v>
      </c>
      <c r="C215">
        <v>472.86999500000002</v>
      </c>
      <c r="D215">
        <v>464.79998799999998</v>
      </c>
      <c r="E215">
        <v>466.45001200000002</v>
      </c>
      <c r="F215">
        <v>464.81698599999999</v>
      </c>
      <c r="G215">
        <v>116568600</v>
      </c>
      <c r="H215" s="8">
        <f>(SPY[[#This Row],[Open]]-SPY[[#This Row],[Close]])/SPY[[#This Row],[Open]] * 100</f>
        <v>1.2950451593090546</v>
      </c>
      <c r="I215">
        <f>IF(SPY[[#This Row],[Volume]] &gt; 71975900+ 1.5 * 42542200, SPY[[#This Row],[Gain]], 0)</f>
        <v>0</v>
      </c>
      <c r="J215" s="8">
        <f>IF(SPY[[#This Row],[Volume]] &lt; 79378480 - 1.5 * 42542200, SPY[[#This Row],[Gain]], 0)</f>
        <v>0</v>
      </c>
    </row>
    <row r="216" spans="1:10" x14ac:dyDescent="0.2">
      <c r="A216" s="1">
        <v>44547</v>
      </c>
      <c r="B216">
        <v>461.54998799999998</v>
      </c>
      <c r="C216">
        <v>464.73998999999998</v>
      </c>
      <c r="D216">
        <v>458.05999800000001</v>
      </c>
      <c r="E216">
        <v>459.86999500000002</v>
      </c>
      <c r="F216">
        <v>459.86999500000002</v>
      </c>
      <c r="G216">
        <v>135511600</v>
      </c>
      <c r="H216" s="8">
        <f>(SPY[[#This Row],[Open]]-SPY[[#This Row],[Close]])/SPY[[#This Row],[Open]] * 100</f>
        <v>0.363989393062224</v>
      </c>
      <c r="I216">
        <f>IF(SPY[[#This Row],[Volume]] &gt; 71975900+ 1.5 * 42542200, SPY[[#This Row],[Gain]], 0)</f>
        <v>0</v>
      </c>
      <c r="J216" s="8">
        <f>IF(SPY[[#This Row],[Volume]] &lt; 79378480 - 1.5 * 42542200, SPY[[#This Row],[Gain]], 0)</f>
        <v>0</v>
      </c>
    </row>
    <row r="217" spans="1:10" x14ac:dyDescent="0.2">
      <c r="A217" s="1">
        <v>44550</v>
      </c>
      <c r="B217">
        <v>454.48001099999999</v>
      </c>
      <c r="C217">
        <v>455.39999399999999</v>
      </c>
      <c r="D217">
        <v>451.14001500000001</v>
      </c>
      <c r="E217">
        <v>454.98001099999999</v>
      </c>
      <c r="F217">
        <v>454.98001099999999</v>
      </c>
      <c r="G217">
        <v>107134800</v>
      </c>
      <c r="H217" s="8">
        <f>(SPY[[#This Row],[Open]]-SPY[[#This Row],[Close]])/SPY[[#This Row],[Open]] * 100</f>
        <v>-0.11001583961852177</v>
      </c>
      <c r="I217">
        <f>IF(SPY[[#This Row],[Volume]] &gt; 71975900+ 1.5 * 42542200, SPY[[#This Row],[Gain]], 0)</f>
        <v>0</v>
      </c>
      <c r="J217" s="8">
        <f>IF(SPY[[#This Row],[Volume]] &lt; 79378480 - 1.5 * 42542200, SPY[[#This Row],[Gain]], 0)</f>
        <v>0</v>
      </c>
    </row>
    <row r="218" spans="1:10" x14ac:dyDescent="0.2">
      <c r="A218" s="1">
        <v>44551</v>
      </c>
      <c r="B218">
        <v>458.60998499999999</v>
      </c>
      <c r="C218">
        <v>463.209991</v>
      </c>
      <c r="D218">
        <v>456.30999800000001</v>
      </c>
      <c r="E218">
        <v>463.05999800000001</v>
      </c>
      <c r="F218">
        <v>463.05999800000001</v>
      </c>
      <c r="G218">
        <v>69806300</v>
      </c>
      <c r="H218" s="8">
        <f>(SPY[[#This Row],[Open]]-SPY[[#This Row],[Close]])/SPY[[#This Row],[Open]] * 100</f>
        <v>-0.97032623482892832</v>
      </c>
      <c r="I218">
        <f>IF(SPY[[#This Row],[Volume]] &gt; 71975900+ 1.5 * 42542200, SPY[[#This Row],[Gain]], 0)</f>
        <v>0</v>
      </c>
      <c r="J218" s="8">
        <f>IF(SPY[[#This Row],[Volume]] &lt; 79378480 - 1.5 * 42542200, SPY[[#This Row],[Gain]], 0)</f>
        <v>0</v>
      </c>
    </row>
    <row r="219" spans="1:10" x14ac:dyDescent="0.2">
      <c r="A219" s="1">
        <v>44552</v>
      </c>
      <c r="B219">
        <v>462.790009</v>
      </c>
      <c r="C219">
        <v>467.80999800000001</v>
      </c>
      <c r="D219">
        <v>462.57998700000002</v>
      </c>
      <c r="E219">
        <v>467.69000199999999</v>
      </c>
      <c r="F219">
        <v>467.69000199999999</v>
      </c>
      <c r="G219">
        <v>58890200</v>
      </c>
      <c r="H219" s="8">
        <f>(SPY[[#This Row],[Open]]-SPY[[#This Row],[Close]])/SPY[[#This Row],[Open]] * 100</f>
        <v>-1.0587940328677223</v>
      </c>
      <c r="I219">
        <f>IF(SPY[[#This Row],[Volume]] &gt; 71975900+ 1.5 * 42542200, SPY[[#This Row],[Gain]], 0)</f>
        <v>0</v>
      </c>
      <c r="J219" s="8">
        <f>IF(SPY[[#This Row],[Volume]] &lt; 79378480 - 1.5 * 42542200, SPY[[#This Row],[Gain]], 0)</f>
        <v>0</v>
      </c>
    </row>
    <row r="220" spans="1:10" x14ac:dyDescent="0.2">
      <c r="A220" s="1">
        <v>44553</v>
      </c>
      <c r="B220">
        <v>468.75</v>
      </c>
      <c r="C220">
        <v>472.19000199999999</v>
      </c>
      <c r="D220">
        <v>468.64001500000001</v>
      </c>
      <c r="E220">
        <v>470.60000600000001</v>
      </c>
      <c r="F220">
        <v>470.60000600000001</v>
      </c>
      <c r="G220">
        <v>56439700</v>
      </c>
      <c r="H220" s="8">
        <f>(SPY[[#This Row],[Open]]-SPY[[#This Row],[Close]])/SPY[[#This Row],[Open]] * 100</f>
        <v>-0.39466794666666827</v>
      </c>
      <c r="I220">
        <f>IF(SPY[[#This Row],[Volume]] &gt; 71975900+ 1.5 * 42542200, SPY[[#This Row],[Gain]], 0)</f>
        <v>0</v>
      </c>
      <c r="J220" s="8">
        <f>IF(SPY[[#This Row],[Volume]] &lt; 79378480 - 1.5 * 42542200, SPY[[#This Row],[Gain]], 0)</f>
        <v>0</v>
      </c>
    </row>
    <row r="221" spans="1:10" x14ac:dyDescent="0.2">
      <c r="A221" s="1">
        <v>44557</v>
      </c>
      <c r="B221">
        <v>472.05999800000001</v>
      </c>
      <c r="C221">
        <v>477.30999800000001</v>
      </c>
      <c r="D221">
        <v>472.01001000000002</v>
      </c>
      <c r="E221">
        <v>477.26001000000002</v>
      </c>
      <c r="F221">
        <v>477.26001000000002</v>
      </c>
      <c r="G221">
        <v>56808600</v>
      </c>
      <c r="H221" s="8">
        <f>(SPY[[#This Row],[Open]]-SPY[[#This Row],[Close]])/SPY[[#This Row],[Open]] * 100</f>
        <v>-1.1015574338073897</v>
      </c>
      <c r="I221">
        <f>IF(SPY[[#This Row],[Volume]] &gt; 71975900+ 1.5 * 42542200, SPY[[#This Row],[Gain]], 0)</f>
        <v>0</v>
      </c>
      <c r="J221" s="8">
        <f>IF(SPY[[#This Row],[Volume]] &lt; 79378480 - 1.5 * 42542200, SPY[[#This Row],[Gain]], 0)</f>
        <v>0</v>
      </c>
    </row>
    <row r="222" spans="1:10" x14ac:dyDescent="0.2">
      <c r="A222" s="1">
        <v>44558</v>
      </c>
      <c r="B222">
        <v>477.72000100000002</v>
      </c>
      <c r="C222">
        <v>478.80999800000001</v>
      </c>
      <c r="D222">
        <v>476.05999800000001</v>
      </c>
      <c r="E222">
        <v>476.86999500000002</v>
      </c>
      <c r="F222">
        <v>476.86999500000002</v>
      </c>
      <c r="G222">
        <v>47274600</v>
      </c>
      <c r="H222" s="8">
        <f>(SPY[[#This Row],[Open]]-SPY[[#This Row],[Close]])/SPY[[#This Row],[Open]] * 100</f>
        <v>0.17792974927168845</v>
      </c>
      <c r="I222">
        <f>IF(SPY[[#This Row],[Volume]] &gt; 71975900+ 1.5 * 42542200, SPY[[#This Row],[Gain]], 0)</f>
        <v>0</v>
      </c>
      <c r="J222" s="8">
        <f>IF(SPY[[#This Row],[Volume]] &lt; 79378480 - 1.5 * 42542200, SPY[[#This Row],[Gain]], 0)</f>
        <v>0</v>
      </c>
    </row>
    <row r="223" spans="1:10" x14ac:dyDescent="0.2">
      <c r="A223" s="1">
        <v>44559</v>
      </c>
      <c r="B223">
        <v>476.98001099999999</v>
      </c>
      <c r="C223">
        <v>478.55999800000001</v>
      </c>
      <c r="D223">
        <v>475.92001299999998</v>
      </c>
      <c r="E223">
        <v>477.48001099999999</v>
      </c>
      <c r="F223">
        <v>477.48001099999999</v>
      </c>
      <c r="G223">
        <v>54503000</v>
      </c>
      <c r="H223" s="8">
        <f>(SPY[[#This Row],[Open]]-SPY[[#This Row],[Close]])/SPY[[#This Row],[Open]] * 100</f>
        <v>-0.10482619574596808</v>
      </c>
      <c r="I223">
        <f>IF(SPY[[#This Row],[Volume]] &gt; 71975900+ 1.5 * 42542200, SPY[[#This Row],[Gain]], 0)</f>
        <v>0</v>
      </c>
      <c r="J223" s="8">
        <f>IF(SPY[[#This Row],[Volume]] &lt; 79378480 - 1.5 * 42542200, SPY[[#This Row],[Gain]], 0)</f>
        <v>0</v>
      </c>
    </row>
    <row r="224" spans="1:10" x14ac:dyDescent="0.2">
      <c r="A224" s="1">
        <v>44560</v>
      </c>
      <c r="B224">
        <v>477.92999300000002</v>
      </c>
      <c r="C224">
        <v>479</v>
      </c>
      <c r="D224">
        <v>475.67001299999998</v>
      </c>
      <c r="E224">
        <v>476.16000400000001</v>
      </c>
      <c r="F224">
        <v>476.16000400000001</v>
      </c>
      <c r="G224">
        <v>55329000</v>
      </c>
      <c r="H224" s="8">
        <f>(SPY[[#This Row],[Open]]-SPY[[#This Row],[Close]])/SPY[[#This Row],[Open]] * 100</f>
        <v>0.3703448257954402</v>
      </c>
      <c r="I224">
        <f>IF(SPY[[#This Row],[Volume]] &gt; 71975900+ 1.5 * 42542200, SPY[[#This Row],[Gain]], 0)</f>
        <v>0</v>
      </c>
      <c r="J224" s="8">
        <f>IF(SPY[[#This Row],[Volume]] &lt; 79378480 - 1.5 * 42542200, SPY[[#This Row],[Gain]], 0)</f>
        <v>0</v>
      </c>
    </row>
    <row r="225" spans="1:10" x14ac:dyDescent="0.2">
      <c r="A225" s="1">
        <v>44561</v>
      </c>
      <c r="B225">
        <v>475.64001500000001</v>
      </c>
      <c r="C225">
        <v>476.85998499999999</v>
      </c>
      <c r="D225">
        <v>474.67001299999998</v>
      </c>
      <c r="E225">
        <v>474.959991</v>
      </c>
      <c r="F225">
        <v>474.959991</v>
      </c>
      <c r="G225">
        <v>65237400</v>
      </c>
      <c r="H225" s="8">
        <f>(SPY[[#This Row],[Open]]-SPY[[#This Row],[Close]])/SPY[[#This Row],[Open]] * 100</f>
        <v>0.14297030917384085</v>
      </c>
      <c r="I225">
        <f>IF(SPY[[#This Row],[Volume]] &gt; 71975900+ 1.5 * 42542200, SPY[[#This Row],[Gain]], 0)</f>
        <v>0</v>
      </c>
      <c r="J225" s="8">
        <f>IF(SPY[[#This Row],[Volume]] &lt; 79378480 - 1.5 * 42542200, SPY[[#This Row],[Gain]], 0)</f>
        <v>0</v>
      </c>
    </row>
    <row r="226" spans="1:10" x14ac:dyDescent="0.2">
      <c r="A226" s="1">
        <v>44564</v>
      </c>
      <c r="B226">
        <v>476.29998799999998</v>
      </c>
      <c r="C226">
        <v>477.85000600000001</v>
      </c>
      <c r="D226">
        <v>473.85000600000001</v>
      </c>
      <c r="E226">
        <v>477.709991</v>
      </c>
      <c r="F226">
        <v>477.709991</v>
      </c>
      <c r="G226">
        <v>72668200</v>
      </c>
      <c r="H226" s="8">
        <f>(SPY[[#This Row],[Open]]-SPY[[#This Row],[Close]])/SPY[[#This Row],[Open]] * 100</f>
        <v>-0.29603254997353001</v>
      </c>
      <c r="I226">
        <f>IF(SPY[[#This Row],[Volume]] &gt; 71975900+ 1.5 * 42542200, SPY[[#This Row],[Gain]], 0)</f>
        <v>0</v>
      </c>
      <c r="J226" s="8">
        <f>IF(SPY[[#This Row],[Volume]] &lt; 79378480 - 1.5 * 42542200, SPY[[#This Row],[Gain]], 0)</f>
        <v>0</v>
      </c>
    </row>
    <row r="227" spans="1:10" x14ac:dyDescent="0.2">
      <c r="A227" s="1">
        <v>44565</v>
      </c>
      <c r="B227">
        <v>479.22000100000002</v>
      </c>
      <c r="C227">
        <v>479.98001099999999</v>
      </c>
      <c r="D227">
        <v>475.57998700000002</v>
      </c>
      <c r="E227">
        <v>477.54998799999998</v>
      </c>
      <c r="F227">
        <v>477.54998799999998</v>
      </c>
      <c r="G227">
        <v>71178700</v>
      </c>
      <c r="H227" s="8">
        <f>(SPY[[#This Row],[Open]]-SPY[[#This Row],[Close]])/SPY[[#This Row],[Open]] * 100</f>
        <v>0.34848566347714688</v>
      </c>
      <c r="I227">
        <f>IF(SPY[[#This Row],[Volume]] &gt; 71975900+ 1.5 * 42542200, SPY[[#This Row],[Gain]], 0)</f>
        <v>0</v>
      </c>
      <c r="J227" s="8">
        <f>IF(SPY[[#This Row],[Volume]] &lt; 79378480 - 1.5 * 42542200, SPY[[#This Row],[Gain]], 0)</f>
        <v>0</v>
      </c>
    </row>
    <row r="228" spans="1:10" x14ac:dyDescent="0.2">
      <c r="A228" s="1">
        <v>44566</v>
      </c>
      <c r="B228">
        <v>477.16000400000001</v>
      </c>
      <c r="C228">
        <v>477.98001099999999</v>
      </c>
      <c r="D228">
        <v>468.27999899999998</v>
      </c>
      <c r="E228">
        <v>468.38000499999998</v>
      </c>
      <c r="F228">
        <v>468.38000499999998</v>
      </c>
      <c r="G228">
        <v>104538900</v>
      </c>
      <c r="H228" s="8">
        <f>(SPY[[#This Row],[Open]]-SPY[[#This Row],[Close]])/SPY[[#This Row],[Open]] * 100</f>
        <v>1.8400534257686927</v>
      </c>
      <c r="I228">
        <f>IF(SPY[[#This Row],[Volume]] &gt; 71975900+ 1.5 * 42542200, SPY[[#This Row],[Gain]], 0)</f>
        <v>0</v>
      </c>
      <c r="J228" s="8">
        <f>IF(SPY[[#This Row],[Volume]] &lt; 79378480 - 1.5 * 42542200, SPY[[#This Row],[Gain]], 0)</f>
        <v>0</v>
      </c>
    </row>
    <row r="229" spans="1:10" x14ac:dyDescent="0.2">
      <c r="A229" s="1">
        <v>44567</v>
      </c>
      <c r="B229">
        <v>467.89001500000001</v>
      </c>
      <c r="C229">
        <v>470.82000699999998</v>
      </c>
      <c r="D229">
        <v>465.42999300000002</v>
      </c>
      <c r="E229">
        <v>467.94000199999999</v>
      </c>
      <c r="F229">
        <v>467.94000199999999</v>
      </c>
      <c r="G229">
        <v>86858900</v>
      </c>
      <c r="H229" s="8">
        <f>(SPY[[#This Row],[Open]]-SPY[[#This Row],[Close]])/SPY[[#This Row],[Open]] * 100</f>
        <v>-1.0683493641125757E-2</v>
      </c>
      <c r="I229">
        <f>IF(SPY[[#This Row],[Volume]] &gt; 71975900+ 1.5 * 42542200, SPY[[#This Row],[Gain]], 0)</f>
        <v>0</v>
      </c>
      <c r="J229" s="8">
        <f>IF(SPY[[#This Row],[Volume]] &lt; 79378480 - 1.5 * 42542200, SPY[[#This Row],[Gain]], 0)</f>
        <v>0</v>
      </c>
    </row>
    <row r="230" spans="1:10" x14ac:dyDescent="0.2">
      <c r="A230" s="1">
        <v>44568</v>
      </c>
      <c r="B230">
        <v>467.95001200000002</v>
      </c>
      <c r="C230">
        <v>469.20001200000002</v>
      </c>
      <c r="D230">
        <v>464.64999399999999</v>
      </c>
      <c r="E230">
        <v>466.08999599999999</v>
      </c>
      <c r="F230">
        <v>466.08999599999999</v>
      </c>
      <c r="G230">
        <v>85064800</v>
      </c>
      <c r="H230" s="8">
        <f>(SPY[[#This Row],[Open]]-SPY[[#This Row],[Close]])/SPY[[#This Row],[Open]] * 100</f>
        <v>0.39748177204876955</v>
      </c>
      <c r="I230">
        <f>IF(SPY[[#This Row],[Volume]] &gt; 71975900+ 1.5 * 42542200, SPY[[#This Row],[Gain]], 0)</f>
        <v>0</v>
      </c>
      <c r="J230" s="8">
        <f>IF(SPY[[#This Row],[Volume]] &lt; 79378480 - 1.5 * 42542200, SPY[[#This Row],[Gain]], 0)</f>
        <v>0</v>
      </c>
    </row>
    <row r="231" spans="1:10" x14ac:dyDescent="0.2">
      <c r="A231" s="1">
        <v>44571</v>
      </c>
      <c r="B231">
        <v>462.70001200000002</v>
      </c>
      <c r="C231">
        <v>465.73998999999998</v>
      </c>
      <c r="D231">
        <v>456.60000600000001</v>
      </c>
      <c r="E231">
        <v>465.51001000000002</v>
      </c>
      <c r="F231">
        <v>465.51001000000002</v>
      </c>
      <c r="G231">
        <v>119362000</v>
      </c>
      <c r="H231" s="8">
        <f>(SPY[[#This Row],[Open]]-SPY[[#This Row],[Close]])/SPY[[#This Row],[Open]] * 100</f>
        <v>-0.60730450121535928</v>
      </c>
      <c r="I231">
        <f>IF(SPY[[#This Row],[Volume]] &gt; 71975900+ 1.5 * 42542200, SPY[[#This Row],[Gain]], 0)</f>
        <v>0</v>
      </c>
      <c r="J231" s="8">
        <f>IF(SPY[[#This Row],[Volume]] &lt; 79378480 - 1.5 * 42542200, SPY[[#This Row],[Gain]], 0)</f>
        <v>0</v>
      </c>
    </row>
    <row r="232" spans="1:10" x14ac:dyDescent="0.2">
      <c r="A232" s="1">
        <v>44572</v>
      </c>
      <c r="B232">
        <v>465.23001099999999</v>
      </c>
      <c r="C232">
        <v>469.85000600000001</v>
      </c>
      <c r="D232">
        <v>462.04998799999998</v>
      </c>
      <c r="E232">
        <v>469.75</v>
      </c>
      <c r="F232">
        <v>469.75</v>
      </c>
      <c r="G232">
        <v>74303100</v>
      </c>
      <c r="H232" s="8">
        <f>(SPY[[#This Row],[Open]]-SPY[[#This Row],[Close]])/SPY[[#This Row],[Open]] * 100</f>
        <v>-0.97156006558657071</v>
      </c>
      <c r="I232">
        <f>IF(SPY[[#This Row],[Volume]] &gt; 71975900+ 1.5 * 42542200, SPY[[#This Row],[Gain]], 0)</f>
        <v>0</v>
      </c>
      <c r="J232" s="8">
        <f>IF(SPY[[#This Row],[Volume]] &lt; 79378480 - 1.5 * 42542200, SPY[[#This Row],[Gain]], 0)</f>
        <v>0</v>
      </c>
    </row>
    <row r="233" spans="1:10" x14ac:dyDescent="0.2">
      <c r="A233" s="1">
        <v>44573</v>
      </c>
      <c r="B233">
        <v>471.58999599999999</v>
      </c>
      <c r="C233">
        <v>473.20001200000002</v>
      </c>
      <c r="D233">
        <v>468.94000199999999</v>
      </c>
      <c r="E233">
        <v>471.01998900000001</v>
      </c>
      <c r="F233">
        <v>471.01998900000001</v>
      </c>
      <c r="G233">
        <v>67605400</v>
      </c>
      <c r="H233" s="8">
        <f>(SPY[[#This Row],[Open]]-SPY[[#This Row],[Close]])/SPY[[#This Row],[Open]] * 100</f>
        <v>0.1208691882429108</v>
      </c>
      <c r="I233">
        <f>IF(SPY[[#This Row],[Volume]] &gt; 71975900+ 1.5 * 42542200, SPY[[#This Row],[Gain]], 0)</f>
        <v>0</v>
      </c>
      <c r="J233" s="8">
        <f>IF(SPY[[#This Row],[Volume]] &lt; 79378480 - 1.5 * 42542200, SPY[[#This Row],[Gain]], 0)</f>
        <v>0</v>
      </c>
    </row>
    <row r="234" spans="1:10" x14ac:dyDescent="0.2">
      <c r="A234" s="1">
        <v>44574</v>
      </c>
      <c r="B234">
        <v>472.19000199999999</v>
      </c>
      <c r="C234">
        <v>472.88000499999998</v>
      </c>
      <c r="D234">
        <v>463.44000199999999</v>
      </c>
      <c r="E234">
        <v>464.52999899999998</v>
      </c>
      <c r="F234">
        <v>464.52999899999998</v>
      </c>
      <c r="G234">
        <v>91173100</v>
      </c>
      <c r="H234" s="8">
        <f>(SPY[[#This Row],[Open]]-SPY[[#This Row],[Close]])/SPY[[#This Row],[Open]] * 100</f>
        <v>1.6222289687531373</v>
      </c>
      <c r="I234">
        <f>IF(SPY[[#This Row],[Volume]] &gt; 71975900+ 1.5 * 42542200, SPY[[#This Row],[Gain]], 0)</f>
        <v>0</v>
      </c>
      <c r="J234" s="8">
        <f>IF(SPY[[#This Row],[Volume]] &lt; 79378480 - 1.5 * 42542200, SPY[[#This Row],[Gain]], 0)</f>
        <v>0</v>
      </c>
    </row>
    <row r="235" spans="1:10" x14ac:dyDescent="0.2">
      <c r="A235" s="1">
        <v>44575</v>
      </c>
      <c r="B235">
        <v>461.19000199999999</v>
      </c>
      <c r="C235">
        <v>465.08999599999999</v>
      </c>
      <c r="D235">
        <v>459.89999399999999</v>
      </c>
      <c r="E235">
        <v>464.72000100000002</v>
      </c>
      <c r="F235">
        <v>464.72000100000002</v>
      </c>
      <c r="G235">
        <v>95849600</v>
      </c>
      <c r="H235" s="8">
        <f>(SPY[[#This Row],[Open]]-SPY[[#This Row],[Close]])/SPY[[#This Row],[Open]] * 100</f>
        <v>-0.7654109986538763</v>
      </c>
      <c r="I235">
        <f>IF(SPY[[#This Row],[Volume]] &gt; 71975900+ 1.5 * 42542200, SPY[[#This Row],[Gain]], 0)</f>
        <v>0</v>
      </c>
      <c r="J235" s="8">
        <f>IF(SPY[[#This Row],[Volume]] &lt; 79378480 - 1.5 * 42542200, SPY[[#This Row],[Gain]], 0)</f>
        <v>0</v>
      </c>
    </row>
    <row r="236" spans="1:10" x14ac:dyDescent="0.2">
      <c r="A236" s="1">
        <v>44579</v>
      </c>
      <c r="B236">
        <v>459.73998999999998</v>
      </c>
      <c r="C236">
        <v>459.959991</v>
      </c>
      <c r="D236">
        <v>455.30999800000001</v>
      </c>
      <c r="E236">
        <v>456.48998999999998</v>
      </c>
      <c r="F236">
        <v>456.48998999999998</v>
      </c>
      <c r="G236">
        <v>109709100</v>
      </c>
      <c r="H236" s="8">
        <f>(SPY[[#This Row],[Open]]-SPY[[#This Row],[Close]])/SPY[[#This Row],[Open]] * 100</f>
        <v>0.70692131872191499</v>
      </c>
      <c r="I236">
        <f>IF(SPY[[#This Row],[Volume]] &gt; 71975900+ 1.5 * 42542200, SPY[[#This Row],[Gain]], 0)</f>
        <v>0</v>
      </c>
      <c r="J236" s="8">
        <f>IF(SPY[[#This Row],[Volume]] &lt; 79378480 - 1.5 * 42542200, SPY[[#This Row],[Gain]], 0)</f>
        <v>0</v>
      </c>
    </row>
    <row r="237" spans="1:10" x14ac:dyDescent="0.2">
      <c r="A237" s="1">
        <v>44580</v>
      </c>
      <c r="B237">
        <v>458.13000499999998</v>
      </c>
      <c r="C237">
        <v>459.60998499999999</v>
      </c>
      <c r="D237">
        <v>451.459991</v>
      </c>
      <c r="E237">
        <v>451.75</v>
      </c>
      <c r="F237">
        <v>451.75</v>
      </c>
      <c r="G237">
        <v>109357600</v>
      </c>
      <c r="H237" s="8">
        <f>(SPY[[#This Row],[Open]]-SPY[[#This Row],[Close]])/SPY[[#This Row],[Open]] * 100</f>
        <v>1.3926188920981029</v>
      </c>
      <c r="I237">
        <f>IF(SPY[[#This Row],[Volume]] &gt; 71975900+ 1.5 * 42542200, SPY[[#This Row],[Gain]], 0)</f>
        <v>0</v>
      </c>
      <c r="J237" s="8">
        <f>IF(SPY[[#This Row],[Volume]] &lt; 79378480 - 1.5 * 42542200, SPY[[#This Row],[Gain]], 0)</f>
        <v>0</v>
      </c>
    </row>
    <row r="238" spans="1:10" x14ac:dyDescent="0.2">
      <c r="A238" s="1">
        <v>44581</v>
      </c>
      <c r="B238">
        <v>453.75</v>
      </c>
      <c r="C238">
        <v>458.73998999999998</v>
      </c>
      <c r="D238">
        <v>444.5</v>
      </c>
      <c r="E238">
        <v>446.75</v>
      </c>
      <c r="F238">
        <v>446.75</v>
      </c>
      <c r="G238">
        <v>122379700</v>
      </c>
      <c r="H238" s="8">
        <f>(SPY[[#This Row],[Open]]-SPY[[#This Row],[Close]])/SPY[[#This Row],[Open]] * 100</f>
        <v>1.5426997245179064</v>
      </c>
      <c r="I238">
        <f>IF(SPY[[#This Row],[Volume]] &gt; 71975900+ 1.5 * 42542200, SPY[[#This Row],[Gain]], 0)</f>
        <v>0</v>
      </c>
      <c r="J238" s="8">
        <f>IF(SPY[[#This Row],[Volume]] &lt; 79378480 - 1.5 * 42542200, SPY[[#This Row],[Gain]], 0)</f>
        <v>0</v>
      </c>
    </row>
    <row r="239" spans="1:10" x14ac:dyDescent="0.2">
      <c r="A239" s="1">
        <v>44582</v>
      </c>
      <c r="B239">
        <v>445.55999800000001</v>
      </c>
      <c r="C239">
        <v>448.05999800000001</v>
      </c>
      <c r="D239">
        <v>437.95001200000002</v>
      </c>
      <c r="E239">
        <v>437.98001099999999</v>
      </c>
      <c r="F239">
        <v>437.98001099999999</v>
      </c>
      <c r="G239">
        <v>202271200</v>
      </c>
      <c r="H239" s="8">
        <f>(SPY[[#This Row],[Open]]-SPY[[#This Row],[Close]])/SPY[[#This Row],[Open]] * 100</f>
        <v>1.7012270028783008</v>
      </c>
      <c r="I239">
        <f>IF(SPY[[#This Row],[Volume]] &gt; 71975900+ 1.5 * 42542200, SPY[[#This Row],[Gain]], 0)</f>
        <v>1.7012270028783008</v>
      </c>
      <c r="J239" s="8">
        <f>IF(SPY[[#This Row],[Volume]] &lt; 79378480 - 1.5 * 42542200, SPY[[#This Row],[Gain]], 0)</f>
        <v>0</v>
      </c>
    </row>
    <row r="240" spans="1:10" x14ac:dyDescent="0.2">
      <c r="A240" s="1">
        <v>44585</v>
      </c>
      <c r="B240">
        <v>432.02999899999998</v>
      </c>
      <c r="C240">
        <v>440.38000499999998</v>
      </c>
      <c r="D240">
        <v>420.76001000000002</v>
      </c>
      <c r="E240">
        <v>439.83999599999999</v>
      </c>
      <c r="F240">
        <v>439.83999599999999</v>
      </c>
      <c r="G240">
        <v>251783900</v>
      </c>
      <c r="H240" s="8">
        <f>(SPY[[#This Row],[Open]]-SPY[[#This Row],[Close]])/SPY[[#This Row],[Open]] * 100</f>
        <v>-1.8077441423228597</v>
      </c>
      <c r="I240">
        <f>IF(SPY[[#This Row],[Volume]] &gt; 71975900+ 1.5 * 42542200, SPY[[#This Row],[Gain]], 0)</f>
        <v>-1.8077441423228597</v>
      </c>
      <c r="J240" s="8">
        <f>IF(SPY[[#This Row],[Volume]] &lt; 79378480 - 1.5 * 42542200, SPY[[#This Row],[Gain]], 0)</f>
        <v>0</v>
      </c>
    </row>
    <row r="241" spans="1:10" x14ac:dyDescent="0.2">
      <c r="A241" s="1">
        <v>44586</v>
      </c>
      <c r="B241">
        <v>433.05999800000001</v>
      </c>
      <c r="C241">
        <v>439.72000100000002</v>
      </c>
      <c r="D241">
        <v>427.14999399999999</v>
      </c>
      <c r="E241">
        <v>434.47000100000002</v>
      </c>
      <c r="F241">
        <v>434.47000100000002</v>
      </c>
      <c r="G241">
        <v>167997300</v>
      </c>
      <c r="H241" s="8">
        <f>(SPY[[#This Row],[Open]]-SPY[[#This Row],[Close]])/SPY[[#This Row],[Open]] * 100</f>
        <v>-0.32559068177892925</v>
      </c>
      <c r="I241">
        <f>IF(SPY[[#This Row],[Volume]] &gt; 71975900+ 1.5 * 42542200, SPY[[#This Row],[Gain]], 0)</f>
        <v>-0.32559068177892925</v>
      </c>
      <c r="J241" s="8">
        <f>IF(SPY[[#This Row],[Volume]] &lt; 79378480 - 1.5 * 42542200, SPY[[#This Row],[Gain]], 0)</f>
        <v>0</v>
      </c>
    </row>
    <row r="242" spans="1:10" x14ac:dyDescent="0.2">
      <c r="A242" s="1">
        <v>44587</v>
      </c>
      <c r="B242">
        <v>440.72000100000002</v>
      </c>
      <c r="C242">
        <v>444.040009</v>
      </c>
      <c r="D242">
        <v>428.85998499999999</v>
      </c>
      <c r="E242">
        <v>433.38000499999998</v>
      </c>
      <c r="F242">
        <v>433.38000499999998</v>
      </c>
      <c r="G242">
        <v>186391100</v>
      </c>
      <c r="H242" s="8">
        <f>(SPY[[#This Row],[Open]]-SPY[[#This Row],[Close]])/SPY[[#This Row],[Open]] * 100</f>
        <v>1.665455614300573</v>
      </c>
      <c r="I242">
        <f>IF(SPY[[#This Row],[Volume]] &gt; 71975900+ 1.5 * 42542200, SPY[[#This Row],[Gain]], 0)</f>
        <v>1.665455614300573</v>
      </c>
      <c r="J242" s="8">
        <f>IF(SPY[[#This Row],[Volume]] &lt; 79378480 - 1.5 * 42542200, SPY[[#This Row],[Gain]], 0)</f>
        <v>0</v>
      </c>
    </row>
    <row r="243" spans="1:10" x14ac:dyDescent="0.2">
      <c r="A243" s="1">
        <v>44588</v>
      </c>
      <c r="B243">
        <v>438.26001000000002</v>
      </c>
      <c r="C243">
        <v>441.58999599999999</v>
      </c>
      <c r="D243">
        <v>429.45001200000002</v>
      </c>
      <c r="E243">
        <v>431.23998999999998</v>
      </c>
      <c r="F243">
        <v>431.23998999999998</v>
      </c>
      <c r="G243">
        <v>149878300</v>
      </c>
      <c r="H243" s="8">
        <f>(SPY[[#This Row],[Open]]-SPY[[#This Row],[Close]])/SPY[[#This Row],[Open]] * 100</f>
        <v>1.6017934193904764</v>
      </c>
      <c r="I243">
        <f>IF(SPY[[#This Row],[Volume]] &gt; 71975900+ 1.5 * 42542200, SPY[[#This Row],[Gain]], 0)</f>
        <v>1.6017934193904764</v>
      </c>
      <c r="J243" s="8">
        <f>IF(SPY[[#This Row],[Volume]] &lt; 79378480 - 1.5 * 42542200, SPY[[#This Row],[Gain]], 0)</f>
        <v>0</v>
      </c>
    </row>
    <row r="244" spans="1:10" x14ac:dyDescent="0.2">
      <c r="A244" s="1">
        <v>44589</v>
      </c>
      <c r="B244">
        <v>432.67999300000002</v>
      </c>
      <c r="C244">
        <v>442</v>
      </c>
      <c r="D244">
        <v>427.82000699999998</v>
      </c>
      <c r="E244">
        <v>441.95001200000002</v>
      </c>
      <c r="F244">
        <v>441.95001200000002</v>
      </c>
      <c r="G244">
        <v>164457400</v>
      </c>
      <c r="H244" s="8">
        <f>(SPY[[#This Row],[Open]]-SPY[[#This Row],[Close]])/SPY[[#This Row],[Open]] * 100</f>
        <v>-2.1424653670085432</v>
      </c>
      <c r="I244">
        <f>IF(SPY[[#This Row],[Volume]] &gt; 71975900+ 1.5 * 42542200, SPY[[#This Row],[Gain]], 0)</f>
        <v>-2.1424653670085432</v>
      </c>
      <c r="J244" s="8">
        <f>IF(SPY[[#This Row],[Volume]] &lt; 79378480 - 1.5 * 42542200, SPY[[#This Row],[Gain]], 0)</f>
        <v>0</v>
      </c>
    </row>
    <row r="245" spans="1:10" x14ac:dyDescent="0.2">
      <c r="A245" s="1">
        <v>44592</v>
      </c>
      <c r="B245">
        <v>441.23998999999998</v>
      </c>
      <c r="C245">
        <v>450.27999899999998</v>
      </c>
      <c r="D245">
        <v>439.80999800000001</v>
      </c>
      <c r="E245">
        <v>449.91000400000001</v>
      </c>
      <c r="F245">
        <v>449.91000400000001</v>
      </c>
      <c r="G245">
        <v>152251400</v>
      </c>
      <c r="H245" s="8">
        <f>(SPY[[#This Row],[Open]]-SPY[[#This Row],[Close]])/SPY[[#This Row],[Open]] * 100</f>
        <v>-1.9649202693527479</v>
      </c>
      <c r="I245">
        <f>IF(SPY[[#This Row],[Volume]] &gt; 71975900+ 1.5 * 42542200, SPY[[#This Row],[Gain]], 0)</f>
        <v>-1.9649202693527479</v>
      </c>
      <c r="J245" s="8">
        <f>IF(SPY[[#This Row],[Volume]] &lt; 79378480 - 1.5 * 42542200, SPY[[#This Row],[Gain]], 0)</f>
        <v>0</v>
      </c>
    </row>
    <row r="246" spans="1:10" x14ac:dyDescent="0.2">
      <c r="A246" s="1">
        <v>44593</v>
      </c>
      <c r="B246">
        <v>450.67999300000002</v>
      </c>
      <c r="C246">
        <v>453.63000499999998</v>
      </c>
      <c r="D246">
        <v>446.94000199999999</v>
      </c>
      <c r="E246">
        <v>452.95001200000002</v>
      </c>
      <c r="F246">
        <v>452.95001200000002</v>
      </c>
      <c r="G246">
        <v>123155400</v>
      </c>
      <c r="H246" s="8">
        <f>(SPY[[#This Row],[Open]]-SPY[[#This Row],[Close]])/SPY[[#This Row],[Open]] * 100</f>
        <v>-0.50368754665352766</v>
      </c>
      <c r="I246">
        <f>IF(SPY[[#This Row],[Volume]] &gt; 71975900+ 1.5 * 42542200, SPY[[#This Row],[Gain]], 0)</f>
        <v>0</v>
      </c>
      <c r="J246" s="8">
        <f>IF(SPY[[#This Row],[Volume]] &lt; 79378480 - 1.5 * 42542200, SPY[[#This Row],[Gain]], 0)</f>
        <v>0</v>
      </c>
    </row>
    <row r="247" spans="1:10" x14ac:dyDescent="0.2">
      <c r="A247" s="1">
        <v>44594</v>
      </c>
      <c r="B247">
        <v>455.5</v>
      </c>
      <c r="C247">
        <v>458.11999500000002</v>
      </c>
      <c r="D247">
        <v>453.04998799999998</v>
      </c>
      <c r="E247">
        <v>457.35000600000001</v>
      </c>
      <c r="F247">
        <v>457.35000600000001</v>
      </c>
      <c r="G247">
        <v>117361000</v>
      </c>
      <c r="H247" s="8">
        <f>(SPY[[#This Row],[Open]]-SPY[[#This Row],[Close]])/SPY[[#This Row],[Open]] * 100</f>
        <v>-0.4061484083424825</v>
      </c>
      <c r="I247">
        <f>IF(SPY[[#This Row],[Volume]] &gt; 71975900+ 1.5 * 42542200, SPY[[#This Row],[Gain]], 0)</f>
        <v>0</v>
      </c>
      <c r="J247" s="8">
        <f>IF(SPY[[#This Row],[Volume]] &lt; 79378480 - 1.5 * 42542200, SPY[[#This Row],[Gain]], 0)</f>
        <v>0</v>
      </c>
    </row>
    <row r="248" spans="1:10" x14ac:dyDescent="0.2">
      <c r="A248" s="1">
        <v>44595</v>
      </c>
      <c r="B248">
        <v>450.95001200000002</v>
      </c>
      <c r="C248">
        <v>452.97000100000002</v>
      </c>
      <c r="D248">
        <v>445.709991</v>
      </c>
      <c r="E248">
        <v>446.60000600000001</v>
      </c>
      <c r="F248">
        <v>446.60000600000001</v>
      </c>
      <c r="G248">
        <v>118024400</v>
      </c>
      <c r="H248" s="8">
        <f>(SPY[[#This Row],[Open]]-SPY[[#This Row],[Close]])/SPY[[#This Row],[Open]] * 100</f>
        <v>0.96463152993551926</v>
      </c>
      <c r="I248">
        <f>IF(SPY[[#This Row],[Volume]] &gt; 71975900+ 1.5 * 42542200, SPY[[#This Row],[Gain]], 0)</f>
        <v>0</v>
      </c>
      <c r="J248" s="8">
        <f>IF(SPY[[#This Row],[Volume]] &lt; 79378480 - 1.5 * 42542200, SPY[[#This Row],[Gain]], 0)</f>
        <v>0</v>
      </c>
    </row>
    <row r="249" spans="1:10" x14ac:dyDescent="0.2">
      <c r="A249" s="1">
        <v>44596</v>
      </c>
      <c r="B249">
        <v>446.35000600000001</v>
      </c>
      <c r="C249">
        <v>452.77999899999998</v>
      </c>
      <c r="D249">
        <v>443.82998700000002</v>
      </c>
      <c r="E249">
        <v>448.70001200000002</v>
      </c>
      <c r="F249">
        <v>448.70001200000002</v>
      </c>
      <c r="G249">
        <v>118335600</v>
      </c>
      <c r="H249" s="8">
        <f>(SPY[[#This Row],[Open]]-SPY[[#This Row],[Close]])/SPY[[#This Row],[Open]] * 100</f>
        <v>-0.52649399986789913</v>
      </c>
      <c r="I249">
        <f>IF(SPY[[#This Row],[Volume]] &gt; 71975900+ 1.5 * 42542200, SPY[[#This Row],[Gain]], 0)</f>
        <v>0</v>
      </c>
      <c r="J249" s="8">
        <f>IF(SPY[[#This Row],[Volume]] &lt; 79378480 - 1.5 * 42542200, SPY[[#This Row],[Gain]], 0)</f>
        <v>0</v>
      </c>
    </row>
    <row r="250" spans="1:10" x14ac:dyDescent="0.2">
      <c r="A250" s="1">
        <v>44599</v>
      </c>
      <c r="B250">
        <v>449.51001000000002</v>
      </c>
      <c r="C250">
        <v>450.98998999999998</v>
      </c>
      <c r="D250">
        <v>445.85000600000001</v>
      </c>
      <c r="E250">
        <v>447.26001000000002</v>
      </c>
      <c r="F250">
        <v>447.26001000000002</v>
      </c>
      <c r="G250">
        <v>84472900</v>
      </c>
      <c r="H250" s="8">
        <f>(SPY[[#This Row],[Open]]-SPY[[#This Row],[Close]])/SPY[[#This Row],[Open]] * 100</f>
        <v>0.50054502679484258</v>
      </c>
      <c r="I250">
        <f>IF(SPY[[#This Row],[Volume]] &gt; 71975900+ 1.5 * 42542200, SPY[[#This Row],[Gain]], 0)</f>
        <v>0</v>
      </c>
      <c r="J250" s="8">
        <f>IF(SPY[[#This Row],[Volume]] &lt; 79378480 - 1.5 * 42542200, SPY[[#This Row],[Gain]], 0)</f>
        <v>0</v>
      </c>
    </row>
    <row r="251" spans="1:10" x14ac:dyDescent="0.2">
      <c r="A251" s="1">
        <v>44600</v>
      </c>
      <c r="B251">
        <v>446.73001099999999</v>
      </c>
      <c r="C251">
        <v>451.92001299999998</v>
      </c>
      <c r="D251">
        <v>445.22000100000002</v>
      </c>
      <c r="E251">
        <v>450.94000199999999</v>
      </c>
      <c r="F251">
        <v>450.94000199999999</v>
      </c>
      <c r="G251">
        <v>81012000</v>
      </c>
      <c r="H251" s="8">
        <f>(SPY[[#This Row],[Open]]-SPY[[#This Row],[Close]])/SPY[[#This Row],[Open]] * 100</f>
        <v>-0.94240165118434416</v>
      </c>
      <c r="I251">
        <f>IF(SPY[[#This Row],[Volume]] &gt; 71975900+ 1.5 * 42542200, SPY[[#This Row],[Gain]], 0)</f>
        <v>0</v>
      </c>
      <c r="J251" s="8">
        <f>IF(SPY[[#This Row],[Volume]] &lt; 79378480 - 1.5 * 42542200, SPY[[#This Row],[Gain]], 0)</f>
        <v>0</v>
      </c>
    </row>
    <row r="252" spans="1:10" x14ac:dyDescent="0.2">
      <c r="A252" s="1">
        <v>44601</v>
      </c>
      <c r="B252">
        <v>455.22000100000002</v>
      </c>
      <c r="C252">
        <v>457.88000499999998</v>
      </c>
      <c r="D252">
        <v>455.01001000000002</v>
      </c>
      <c r="E252">
        <v>457.540009</v>
      </c>
      <c r="F252">
        <v>457.540009</v>
      </c>
      <c r="G252">
        <v>92589900</v>
      </c>
      <c r="H252" s="8">
        <f>(SPY[[#This Row],[Open]]-SPY[[#This Row],[Close]])/SPY[[#This Row],[Open]] * 100</f>
        <v>-0.5096454450383372</v>
      </c>
      <c r="I252">
        <f>IF(SPY[[#This Row],[Volume]] &gt; 71975900+ 1.5 * 42542200, SPY[[#This Row],[Gain]], 0)</f>
        <v>0</v>
      </c>
      <c r="J252" s="8">
        <f>IF(SPY[[#This Row],[Volume]] &lt; 79378480 - 1.5 * 42542200, SPY[[#This Row],[Gain]], 0)</f>
        <v>0</v>
      </c>
    </row>
    <row r="253" spans="1:10" x14ac:dyDescent="0.2">
      <c r="A253" s="1">
        <v>44602</v>
      </c>
      <c r="B253">
        <v>451.33999599999999</v>
      </c>
      <c r="C253">
        <v>457.709991</v>
      </c>
      <c r="D253">
        <v>447.20001200000002</v>
      </c>
      <c r="E253">
        <v>449.32000699999998</v>
      </c>
      <c r="F253">
        <v>449.32000699999998</v>
      </c>
      <c r="G253">
        <v>140103700</v>
      </c>
      <c r="H253" s="8">
        <f>(SPY[[#This Row],[Open]]-SPY[[#This Row],[Close]])/SPY[[#This Row],[Open]] * 100</f>
        <v>0.44755373286262218</v>
      </c>
      <c r="I253">
        <f>IF(SPY[[#This Row],[Volume]] &gt; 71975900+ 1.5 * 42542200, SPY[[#This Row],[Gain]], 0)</f>
        <v>0.44755373286262218</v>
      </c>
      <c r="J253" s="8">
        <f>IF(SPY[[#This Row],[Volume]] &lt; 79378480 - 1.5 * 42542200, SPY[[#This Row],[Gain]], 0)</f>
        <v>0</v>
      </c>
    </row>
    <row r="254" spans="1:10" x14ac:dyDescent="0.2">
      <c r="A254" s="1">
        <v>44603</v>
      </c>
      <c r="B254">
        <v>449.41000400000001</v>
      </c>
      <c r="C254">
        <v>451.60998499999999</v>
      </c>
      <c r="D254">
        <v>438.94000199999999</v>
      </c>
      <c r="E254">
        <v>440.459991</v>
      </c>
      <c r="F254">
        <v>440.459991</v>
      </c>
      <c r="G254">
        <v>153064100</v>
      </c>
      <c r="H254" s="8">
        <f>(SPY[[#This Row],[Open]]-SPY[[#This Row],[Close]])/SPY[[#This Row],[Open]] * 100</f>
        <v>1.9915028415789366</v>
      </c>
      <c r="I254">
        <f>IF(SPY[[#This Row],[Volume]] &gt; 71975900+ 1.5 * 42542200, SPY[[#This Row],[Gain]], 0)</f>
        <v>1.9915028415789366</v>
      </c>
      <c r="J254" s="8">
        <f>IF(SPY[[#This Row],[Volume]] &lt; 79378480 - 1.5 * 42542200, SPY[[#This Row],[Gain]], 0)</f>
        <v>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B634F-35AE-834E-A85D-D3DCAACC7909}">
  <sheetPr codeName="Sheet3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E89ADA-2806-1A44-A1A4-6908AFABEA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AAPL</vt:lpstr>
      <vt:lpstr>Data</vt:lpstr>
      <vt:lpstr>MSFT</vt:lpstr>
      <vt:lpstr>SPY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Bruno</dc:creator>
  <cp:lastModifiedBy>Evan Bruno</cp:lastModifiedBy>
  <dcterms:created xsi:type="dcterms:W3CDTF">2022-02-11T16:17:34Z</dcterms:created>
  <dcterms:modified xsi:type="dcterms:W3CDTF">2022-02-24T06:09:49Z</dcterms:modified>
</cp:coreProperties>
</file>